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aude2.0\"/>
    </mc:Choice>
  </mc:AlternateContent>
  <xr:revisionPtr revIDLastSave="0" documentId="13_ncr:1_{A7DB59E9-6B53-4987-8F48-5F35B3C66A6E}" xr6:coauthVersionLast="47" xr6:coauthVersionMax="47" xr10:uidLastSave="{00000000-0000-0000-0000-000000000000}"/>
  <bookViews>
    <workbookView xWindow="1950" yWindow="1650" windowWidth="25920" windowHeight="13830" activeTab="2" xr2:uid="{B29ADD69-77FD-4CBB-8B7A-7C80F4E7C539}"/>
  </bookViews>
  <sheets>
    <sheet name="Database" sheetId="1" r:id="rId1"/>
    <sheet name="KPI_Analysis" sheetId="2" r:id="rId2"/>
    <sheet name="Dashboard" sheetId="3" r:id="rId3"/>
  </sheets>
  <definedNames>
    <definedName name="_xlnm._FilterDatabase" localSheetId="0" hidden="1">Database!$A$1:$P$101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<sst xmlns="http://schemas.openxmlformats.org/spreadsheetml/2006/main" count="235" uniqueCount="36">
  <si>
    <t>RecordID</t>
  </si>
  <si>
    <t>Date</t>
  </si>
  <si>
    <t>DataCenter</t>
  </si>
  <si>
    <t>Uptime_Percent</t>
  </si>
  <si>
    <t>Downtime_Min</t>
  </si>
  <si>
    <t>Incidents</t>
  </si>
  <si>
    <t>MTTR_Hours</t>
  </si>
  <si>
    <t>MTBF_Hours</t>
  </si>
  <si>
    <t>Temp_C</t>
  </si>
  <si>
    <t>Humidity_Percent</t>
  </si>
  <si>
    <t>Power_kWh</t>
  </si>
  <si>
    <t>Network_Latency_ms</t>
  </si>
  <si>
    <t>CPU_Util_Percent</t>
  </si>
  <si>
    <t>Backup_Success_Percent</t>
  </si>
  <si>
    <t>MaintenanceType</t>
  </si>
  <si>
    <t>SLA_Compliance_Percent</t>
  </si>
  <si>
    <t>Daimler DC Sindelfingen</t>
  </si>
  <si>
    <t>Scheduled</t>
  </si>
  <si>
    <t>Daimler DC Untertürkheim</t>
  </si>
  <si>
    <t>Unscheduled</t>
  </si>
  <si>
    <t>Daimler DC Möhringen</t>
  </si>
  <si>
    <t>Daimler DC Vaihingen</t>
  </si>
  <si>
    <t>Rank</t>
  </si>
  <si>
    <t>AvgUptime_%</t>
  </si>
  <si>
    <t>AvgMTBF_hrs</t>
  </si>
  <si>
    <t>AvgMTTR_hrs</t>
  </si>
  <si>
    <t>UnscheduledRatio_%</t>
  </si>
  <si>
    <t>AvgBackupSuccess_%</t>
  </si>
  <si>
    <t>Score_Uptime</t>
  </si>
  <si>
    <t>Score_MTBF</t>
  </si>
  <si>
    <t>Score_MTTR</t>
  </si>
  <si>
    <t>Score_URatio</t>
  </si>
  <si>
    <t>Score_Backup</t>
  </si>
  <si>
    <t>CompositeScore</t>
  </si>
  <si>
    <t>Daimler Stuttgart Data Centers -- Reliability Dashboard (Fictive / Illustrative Data)</t>
  </si>
  <si>
    <t>Sample: 100 synthetic records across 4 sites | 5 KPIs studied: Uptime, MTBF, MTTR, Unscheduled Incident Ratio, Backup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</si>
</sst>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7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Composite Reliability Score (0-100) by Site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KPI_Analysis!$M$1</c:f>
              <c:strCache>
                <c:ptCount val="1"/>
                <c:pt idx="0">
                  <c:v>CompositeScore</c:v>
                </c:pt>
              </c:strCache>
            </c:strRef>
          </c:tx>
          <c:invertIfNegative val="0"/>
          <c:cat>
            <c:strRef>
              <c:f>KPI_Analysis!$B$2:$B$5</c:f>
              <c:strCache>
                <c:ptCount val="4"/>
                <c:pt idx="0">
                  <c:v>Daimler DC Vaihingen</c:v>
                </c:pt>
                <c:pt idx="1">
                  <c:v>Daimler DC Untertürkheim</c:v>
                </c:pt>
                <c:pt idx="2">
                  <c:v>Daimler DC Möhringen</c:v>
                </c:pt>
                <c:pt idx="3">
                  <c:v>Daimler DC Sindelfingen</c:v>
                </c:pt>
              </c:strCache>
            </c:strRef>
          </c:cat>
          <c:val>
            <c:numRef>
              <c:f>KPI_Analysis!$M$2:$M$5</c:f>
              <c:numCache>
                <c:formatCode>General</c:formatCode>
                <c:ptCount val="4"/>
                <c:pt idx="0">
                  <c:v>68.3</c:v>
                </c:pt>
                <c:pt idx="1">
                  <c:v>64.7</c:v>
                </c:pt>
                <c:pt idx="2">
                  <c:v>32.5</c:v>
                </c:pt>
                <c:pt idx="3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99-49E8-9AD5-FE5A50B19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10607"/>
        <c:axId val="171279887"/>
      </c:barChart>
      <c:catAx>
        <c:axId val="18591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279887"/>
        <c:crosses val="autoZero"/>
        <c:auto val="1"/>
        <c:lblAlgn val="ctr"/>
        <c:lblOffset val="100"/>
        <c:noMultiLvlLbl val="0"/>
      </c:catAx>
      <c:valAx>
        <c:axId val="1712798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91060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Normalized KPI Score Profile by Site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KPI_Analysis!$B$2</c:f>
              <c:strCache>
                <c:ptCount val="1"/>
                <c:pt idx="0">
                  <c:v>Daimler DC Vaihingen</c:v>
                </c:pt>
              </c:strCache>
            </c:strRef>
          </c:tx>
          <c:marker>
            <c:symbol val="none"/>
          </c:marker>
          <c:cat>
            <c:strRef>
              <c:f>KPI_Analysis!$H$1:$L$1</c:f>
              <c:strCache>
                <c:ptCount val="5"/>
                <c:pt idx="0">
                  <c:v>Score_Uptime</c:v>
                </c:pt>
                <c:pt idx="1">
                  <c:v>Score_MTBF</c:v>
                </c:pt>
                <c:pt idx="2">
                  <c:v>Score_MTTR</c:v>
                </c:pt>
                <c:pt idx="3">
                  <c:v>Score_URatio</c:v>
                </c:pt>
                <c:pt idx="4">
                  <c:v>Score_Backup</c:v>
                </c:pt>
              </c:strCache>
            </c:strRef>
          </c:cat>
          <c:val>
            <c:numRef>
              <c:f>KPI_Analysis!$H$2:$L$2</c:f>
              <c:numCache>
                <c:formatCode>General</c:formatCode>
                <c:ptCount val="5"/>
                <c:pt idx="0">
                  <c:v>100</c:v>
                </c:pt>
                <c:pt idx="1">
                  <c:v>72.3</c:v>
                </c:pt>
                <c:pt idx="2">
                  <c:v>12.2</c:v>
                </c:pt>
                <c:pt idx="3">
                  <c:v>52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37-4897-B6BB-94746B4D1A76}"/>
            </c:ext>
          </c:extLst>
        </c:ser>
        <c:ser>
          <c:idx val="1"/>
          <c:order val="1"/>
          <c:tx>
            <c:strRef>
              <c:f>KPI_Analysis!$B$3</c:f>
              <c:strCache>
                <c:ptCount val="1"/>
                <c:pt idx="0">
                  <c:v>Daimler DC Untertürkheim</c:v>
                </c:pt>
              </c:strCache>
            </c:strRef>
          </c:tx>
          <c:marker>
            <c:symbol val="none"/>
          </c:marker>
          <c:cat>
            <c:strRef>
              <c:f>KPI_Analysis!$H$1:$L$1</c:f>
              <c:strCache>
                <c:ptCount val="5"/>
                <c:pt idx="0">
                  <c:v>Score_Uptime</c:v>
                </c:pt>
                <c:pt idx="1">
                  <c:v>Score_MTBF</c:v>
                </c:pt>
                <c:pt idx="2">
                  <c:v>Score_MTTR</c:v>
                </c:pt>
                <c:pt idx="3">
                  <c:v>Score_URatio</c:v>
                </c:pt>
                <c:pt idx="4">
                  <c:v>Score_Backup</c:v>
                </c:pt>
              </c:strCache>
            </c:strRef>
          </c:cat>
          <c:val>
            <c:numRef>
              <c:f>KPI_Analysis!$H$3:$L$3</c:f>
              <c:numCache>
                <c:formatCode>General</c:formatCode>
                <c:ptCount val="5"/>
                <c:pt idx="0">
                  <c:v>45.3</c:v>
                </c:pt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37-4897-B6BB-94746B4D1A76}"/>
            </c:ext>
          </c:extLst>
        </c:ser>
        <c:ser>
          <c:idx val="2"/>
          <c:order val="2"/>
          <c:tx>
            <c:strRef>
              <c:f>KPI_Analysis!$B$4</c:f>
              <c:strCache>
                <c:ptCount val="1"/>
                <c:pt idx="0">
                  <c:v>Daimler DC Möhringen</c:v>
                </c:pt>
              </c:strCache>
            </c:strRef>
          </c:tx>
          <c:marker>
            <c:symbol val="none"/>
          </c:marker>
          <c:cat>
            <c:strRef>
              <c:f>KPI_Analysis!$H$1:$L$1</c:f>
              <c:strCache>
                <c:ptCount val="5"/>
                <c:pt idx="0">
                  <c:v>Score_Uptime</c:v>
                </c:pt>
                <c:pt idx="1">
                  <c:v>Score_MTBF</c:v>
                </c:pt>
                <c:pt idx="2">
                  <c:v>Score_MTTR</c:v>
                </c:pt>
                <c:pt idx="3">
                  <c:v>Score_URatio</c:v>
                </c:pt>
                <c:pt idx="4">
                  <c:v>Score_Backup</c:v>
                </c:pt>
              </c:strCache>
            </c:strRef>
          </c:cat>
          <c:val>
            <c:numRef>
              <c:f>KPI_Analysis!$H$4:$L$4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57.1</c:v>
                </c:pt>
                <c:pt idx="3">
                  <c:v>100</c:v>
                </c:pt>
                <c:pt idx="4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37-4897-B6BB-94746B4D1A76}"/>
            </c:ext>
          </c:extLst>
        </c:ser>
        <c:ser>
          <c:idx val="3"/>
          <c:order val="3"/>
          <c:tx>
            <c:strRef>
              <c:f>KPI_Analysis!$B$5</c:f>
              <c:strCache>
                <c:ptCount val="1"/>
                <c:pt idx="0">
                  <c:v>Daimler DC Sindelfingen</c:v>
                </c:pt>
              </c:strCache>
            </c:strRef>
          </c:tx>
          <c:marker>
            <c:symbol val="none"/>
          </c:marker>
          <c:cat>
            <c:strRef>
              <c:f>KPI_Analysis!$H$1:$L$1</c:f>
              <c:strCache>
                <c:ptCount val="5"/>
                <c:pt idx="0">
                  <c:v>Score_Uptime</c:v>
                </c:pt>
                <c:pt idx="1">
                  <c:v>Score_MTBF</c:v>
                </c:pt>
                <c:pt idx="2">
                  <c:v>Score_MTTR</c:v>
                </c:pt>
                <c:pt idx="3">
                  <c:v>Score_URatio</c:v>
                </c:pt>
                <c:pt idx="4">
                  <c:v>Score_Backup</c:v>
                </c:pt>
              </c:strCache>
            </c:strRef>
          </c:cat>
          <c:val>
            <c:numRef>
              <c:f>KPI_Analysis!$H$5:$L$5</c:f>
              <c:numCache>
                <c:formatCode>General</c:formatCode>
                <c:ptCount val="5"/>
                <c:pt idx="0">
                  <c:v>20.5</c:v>
                </c:pt>
                <c:pt idx="1">
                  <c:v>16.600000000000001</c:v>
                </c:pt>
                <c:pt idx="2">
                  <c:v>0</c:v>
                </c:pt>
                <c:pt idx="3">
                  <c:v>79.900000000000006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37-4897-B6BB-94746B4D1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4319"/>
        <c:axId val="171269807"/>
      </c:radarChart>
      <c:catAx>
        <c:axId val="18591431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1269807"/>
        <c:crosses val="autoZero"/>
        <c:auto val="1"/>
        <c:lblAlgn val="ctr"/>
        <c:lblOffset val="100"/>
        <c:noMultiLvlLbl val="0"/>
      </c:catAx>
      <c:valAx>
        <c:axId val="1712698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9143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Uptime % vs Backup Success % by Site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KPI_Analysis!$C$1</c:f>
              <c:strCache>
                <c:ptCount val="1"/>
                <c:pt idx="0">
                  <c:v>AvgUptime_%</c:v>
                </c:pt>
              </c:strCache>
            </c:strRef>
          </c:tx>
          <c:invertIfNegative val="0"/>
          <c:cat>
            <c:strRef>
              <c:f>KPI_Analysis!$B$2:$B$5</c:f>
              <c:strCache>
                <c:ptCount val="4"/>
                <c:pt idx="0">
                  <c:v>Daimler DC Vaihingen</c:v>
                </c:pt>
                <c:pt idx="1">
                  <c:v>Daimler DC Untertürkheim</c:v>
                </c:pt>
                <c:pt idx="2">
                  <c:v>Daimler DC Möhringen</c:v>
                </c:pt>
                <c:pt idx="3">
                  <c:v>Daimler DC Sindelfingen</c:v>
                </c:pt>
              </c:strCache>
            </c:strRef>
          </c:cat>
          <c:val>
            <c:numRef>
              <c:f>KPI_Analysis!$C$2:$C$5</c:f>
              <c:numCache>
                <c:formatCode>General</c:formatCode>
                <c:ptCount val="4"/>
                <c:pt idx="0">
                  <c:v>98.777000000000001</c:v>
                </c:pt>
                <c:pt idx="1">
                  <c:v>98.498999999999995</c:v>
                </c:pt>
                <c:pt idx="2">
                  <c:v>98.269000000000005</c:v>
                </c:pt>
                <c:pt idx="3">
                  <c:v>98.373000000000005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B4-44E1-9687-9EE5399BA639}"/>
            </c:ext>
          </c:extLst>
        </c:ser>
        <c:ser>
          <c:idx val="1"/>
          <c:order val="1"/>
          <c:tx>
            <c:strRef>
              <c:f>KPI_Analysis!$G$1</c:f>
              <c:strCache>
                <c:ptCount val="1"/>
                <c:pt idx="0">
                  <c:v>AvgBackupSuccess_%</c:v>
                </c:pt>
              </c:strCache>
            </c:strRef>
          </c:tx>
          <c:invertIfNegative val="0"/>
          <c:cat>
            <c:strRef>
              <c:f>KPI_Analysis!$B$2:$B$5</c:f>
              <c:strCache>
                <c:ptCount val="4"/>
                <c:pt idx="0">
                  <c:v>Daimler DC Vaihingen</c:v>
                </c:pt>
                <c:pt idx="1">
                  <c:v>Daimler DC Untertürkheim</c:v>
                </c:pt>
                <c:pt idx="2">
                  <c:v>Daimler DC Möhringen</c:v>
                </c:pt>
                <c:pt idx="3">
                  <c:v>Daimler DC Sindelfingen</c:v>
                </c:pt>
              </c:strCache>
            </c:strRef>
          </c:cat>
          <c:val>
            <c:numRef>
              <c:f>KPI_Analysis!$G$2:$G$5</c:f>
              <c:numCache>
                <c:formatCode>General</c:formatCode>
                <c:ptCount val="4"/>
                <c:pt idx="0">
                  <c:v>95.62</c:v>
                </c:pt>
                <c:pt idx="1">
                  <c:v>95</c:v>
                </c:pt>
                <c:pt idx="2">
                  <c:v>95</c:v>
                </c:pt>
                <c:pt idx="3">
                  <c:v>94.04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B4-44E1-9687-9EE5399BA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23599"/>
        <c:axId val="171274607"/>
      </c:barChart>
      <c:catAx>
        <c:axId val="185923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274607"/>
        <c:crosses val="autoZero"/>
        <c:auto val="1"/>
        <c:lblAlgn val="ctr"/>
        <c:lblOffset val="100"/>
        <c:noMultiLvlLbl val="0"/>
      </c:catAx>
      <c:valAx>
        <c:axId val="1712746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923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MTBF (hrs, bars) vs MTTR (hrs, line) by Site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KPI_Analysis!$D$1</c:f>
              <c:strCache>
                <c:ptCount val="1"/>
                <c:pt idx="0">
                  <c:v>AvgMTBF_hrs</c:v>
                </c:pt>
              </c:strCache>
            </c:strRef>
          </c:tx>
          <c:invertIfNegative val="0"/>
          <c:cat>
            <c:strRef>
              <c:f>KPI_Analysis!$B$2:$B$5</c:f>
              <c:strCache>
                <c:ptCount val="4"/>
                <c:pt idx="0">
                  <c:v>Daimler DC Vaihingen</c:v>
                </c:pt>
                <c:pt idx="1">
                  <c:v>Daimler DC Untertürkheim</c:v>
                </c:pt>
                <c:pt idx="2">
                  <c:v>Daimler DC Möhringen</c:v>
                </c:pt>
                <c:pt idx="3">
                  <c:v>Daimler DC Sindelfingen</c:v>
                </c:pt>
              </c:strCache>
            </c:strRef>
          </c:cat>
          <c:val>
            <c:numRef>
              <c:f>KPI_Analysis!$D$2:$D$5</c:f>
              <c:numCache>
                <c:formatCode>General</c:formatCode>
                <c:ptCount val="4"/>
                <c:pt idx="0">
                  <c:v>505.6</c:v>
                </c:pt>
                <c:pt idx="1">
                  <c:v>525.6</c:v>
                </c:pt>
                <c:pt idx="2">
                  <c:v>453.5</c:v>
                </c:pt>
                <c:pt idx="3">
                  <c:v>465.5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B-4352-9180-A6B131B1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898079"/>
        <c:axId val="171283727"/>
      </c:barChart>
      <c:lineChart>
        <c:grouping val="standard"/>
        <c:varyColors val="0"/>
        <c:ser>
          <c:idx val="1"/>
          <c:order val="1"/>
          <c:tx>
            <c:strRef>
              <c:f>KPI_Analysis!$E$1</c:f>
              <c:strCache>
                <c:ptCount val="1"/>
                <c:pt idx="0">
                  <c:v>AvgMTTR_hrs</c:v>
                </c:pt>
              </c:strCache>
            </c:strRef>
          </c:tx>
          <c:marker>
            <c:symbol val="none"/>
          </c:marker>
          <c:cat>
            <c:strRef>
              <c:f>KPI_Analysis!$B$2:$B$5</c:f>
              <c:strCache>
                <c:ptCount val="4"/>
                <c:pt idx="0">
                  <c:v>Daimler DC Vaihingen</c:v>
                </c:pt>
                <c:pt idx="1">
                  <c:v>Daimler DC Untertürkheim</c:v>
                </c:pt>
                <c:pt idx="2">
                  <c:v>Daimler DC Möhringen</c:v>
                </c:pt>
                <c:pt idx="3">
                  <c:v>Daimler DC Sindelfingen</c:v>
                </c:pt>
              </c:strCache>
            </c:strRef>
          </c:cat>
          <c:val>
            <c:numRef>
              <c:f>KPI_Analysis!$E$2:$E$5</c:f>
              <c:numCache>
                <c:formatCode>General</c:formatCode>
                <c:ptCount val="4"/>
                <c:pt idx="0">
                  <c:v>2.82</c:v>
                </c:pt>
                <c:pt idx="1">
                  <c:v>2.39</c:v>
                </c:pt>
                <c:pt idx="2">
                  <c:v>2.6</c:v>
                </c:pt>
                <c:pt idx="3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8B-4352-9180-A6B131B1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897151"/>
        <c:axId val="171299087"/>
      </c:lineChart>
      <c:catAx>
        <c:axId val="18589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283727"/>
        <c:crosses val="autoZero"/>
        <c:auto val="1"/>
        <c:lblAlgn val="ctr"/>
        <c:lblOffset val="100"/>
        <c:noMultiLvlLbl val="0"/>
      </c:catAx>
      <c:valAx>
        <c:axId val="1712837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898079"/>
        <c:crosses val="autoZero"/>
        <c:crossBetween val="between"/>
      </c:valAx>
      <c:valAx>
        <c:axId val="1712990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85897151"/>
        <c:crosses val="max"/>
        <c:crossBetween val="between"/>
      </c:valAx>
      <c:catAx>
        <c:axId val="18589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299087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28575</xdr:rowOff>
    </xdr:from>
    <xdr:to>
      <xdr:col>7</xdr:col>
      <xdr:colOff>381000</xdr:colOff>
      <xdr:row>20</xdr:row>
      <xdr:rowOff>92075</xdr:rowOff>
    </xdr:to>
    <xdr:graphicFrame macro="">
      <xdr:nvGraphicFramePr>
        <xdr:cNvPr id="7" name="Chart_Composite">
          <a:extLst>
            <a:ext uri="{FF2B5EF4-FFF2-40B4-BE49-F238E27FC236}">
              <a16:creationId xmlns:a16="http://schemas.microsoft.com/office/drawing/2014/main" id="{6888858F-6FFD-4CA3-C546-985262659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635000</xdr:colOff>
      <xdr:row>3</xdr:row>
      <xdr:rowOff>28575</xdr:rowOff>
    </xdr:from>
    <xdr:to>
      <xdr:col>15</xdr:col>
      <xdr:colOff>0</xdr:colOff>
      <xdr:row>20</xdr:row>
      <xdr:rowOff>92075</xdr:rowOff>
    </xdr:to>
    <xdr:graphicFrame macro="">
      <xdr:nvGraphicFramePr>
        <xdr:cNvPr id="8" name="Chart_Radar">
          <a:extLst>
            <a:ext uri="{FF2B5EF4-FFF2-40B4-BE49-F238E27FC236}">
              <a16:creationId xmlns:a16="http://schemas.microsoft.com/office/drawing/2014/main" id="{EC9AA9F2-2F37-2A4F-F96B-D517F7096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21</xdr:row>
      <xdr:rowOff>28575</xdr:rowOff>
    </xdr:from>
    <xdr:to>
      <xdr:col>7</xdr:col>
      <xdr:colOff>381000</xdr:colOff>
      <xdr:row>38</xdr:row>
      <xdr:rowOff>92075</xdr:rowOff>
    </xdr:to>
    <xdr:graphicFrame macro="">
      <xdr:nvGraphicFramePr>
        <xdr:cNvPr id="9" name="Chart_UptimeBackup">
          <a:extLst>
            <a:ext uri="{FF2B5EF4-FFF2-40B4-BE49-F238E27FC236}">
              <a16:creationId xmlns:a16="http://schemas.microsoft.com/office/drawing/2014/main" id="{77EE17EB-F41E-D89D-438C-474CF9221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635000</xdr:colOff>
      <xdr:row>21</xdr:row>
      <xdr:rowOff>28575</xdr:rowOff>
    </xdr:from>
    <xdr:to>
      <xdr:col>15</xdr:col>
      <xdr:colOff>0</xdr:colOff>
      <xdr:row>38</xdr:row>
      <xdr:rowOff>92075</xdr:rowOff>
    </xdr:to>
    <xdr:graphicFrame macro="">
      <xdr:nvGraphicFramePr>
        <xdr:cNvPr id="10" name="Chart_MTBF_MTTR">
          <a:extLst>
            <a:ext uri="{FF2B5EF4-FFF2-40B4-BE49-F238E27FC236}">
              <a16:creationId xmlns:a16="http://schemas.microsoft.com/office/drawing/2014/main" id="{B92901E0-1DF5-DEEE-7A1E-99E923D61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254000</xdr:colOff>
      <xdr:row>39</xdr:row>
      <xdr:rowOff>28575</xdr:rowOff>
    </xdr:from>
    <xdr:to>
      <xdr:col>15</xdr:col>
      <xdr:colOff>0</xdr:colOff>
      <xdr:row>49</xdr:row>
      <xdr:rowOff>155575</xdr:rowOff>
    </xdr:to>
    <xdr:sp macro="" textlink="">
      <xdr:nvSpPr>
        <xdr:cNvPr id="11" name="InsightsBox">
          <a:extLst>
            <a:ext uri="{FF2B5EF4-FFF2-40B4-BE49-F238E27FC236}">
              <a16:creationId xmlns:a16="http://schemas.microsoft.com/office/drawing/2014/main" id="{194879C9-21E7-64F1-8B3B-42AD76704728}"/>
            </a:ext>
          </a:extLst>
        </xdr:cNvPr>
        <xdr:cNvSpPr txBox="1"/>
      </xdr:nvSpPr>
      <xdr:spPr>
        <a:xfrm>
          <a:off x="254000" y="7620000"/>
          <a:ext cx="11176000" cy="203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fr-FR" sz="1100"/>
            <a:t>Key Insights (fictive data):
1. Vaihingen ranks most reliable overall (composite score 68.3/100) - best uptime and backup success, and it fails relatively rarely.
2. Untertuerkheim has the strongest MTBF and fastest MTTR (best fail-rarely + recover-fast combo) but a higher share of unscheduled maintenance pulls its composite score to 2nd place.
3. Sindelfingen and Moehringen lag on composite score - Sindelfingen's weak point is backup success rate and MTTR; Moehringen's is uptime and MTBF.
4. MTBF + MTTR together are the most diagnostic pair: uptime alone can mask a site that fails often but recovers fast (or vice versa).
5. Recommendation: track the composite score monthly per site, and flag any site where Backup Success Rate drops below 95% as an early warning before it shows up in uptime.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73E6-9F72-4115-9914-F5B344D2D3A3}">
  <dimension ref="A1:P101"/>
  <sheetViews>
    <sheetView workbookViewId="0"/>
  </sheetViews>
  <sheetFormatPr baseColWidth="10" defaultRowHeight="15" x14ac:dyDescent="0.25"/>
  <cols>
    <col min="1" max="1" width="11.28515625" bestFit="1" customWidth="1"/>
    <col min="2" max="2" width="10.7109375" bestFit="1" customWidth="1"/>
    <col min="3" max="3" width="24.7109375" bestFit="1" customWidth="1"/>
    <col min="4" max="4" width="17.85546875" bestFit="1" customWidth="1"/>
    <col min="5" max="5" width="17.140625" bestFit="1" customWidth="1"/>
    <col min="7" max="8" width="14.42578125" bestFit="1" customWidth="1"/>
    <col min="9" max="9" width="10.42578125" bestFit="1" customWidth="1"/>
    <col min="10" max="10" width="19.42578125" bestFit="1" customWidth="1"/>
    <col min="11" max="11" width="14.140625" bestFit="1" customWidth="1"/>
    <col min="12" max="12" width="22.42578125" bestFit="1" customWidth="1"/>
    <col min="13" max="13" width="19.28515625" bestFit="1" customWidth="1"/>
    <col min="14" max="14" width="25.42578125" bestFit="1" customWidth="1"/>
    <col min="15" max="15" width="19.42578125" bestFit="1" customWidth="1"/>
    <col min="16" max="16" width="26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1</v>
      </c>
      <c r="B2" s="1">
        <v>45871</v>
      </c>
      <c r="C2" t="s">
        <v>16</v>
      </c>
      <c r="D2">
        <v>97.423000000000002</v>
      </c>
      <c r="E2">
        <v>37.1</v>
      </c>
      <c r="F2">
        <v>0</v>
      </c>
      <c r="G2">
        <v>2.85</v>
      </c>
      <c r="H2">
        <v>301.10000000000002</v>
      </c>
      <c r="I2">
        <v>19.600000000000001</v>
      </c>
      <c r="J2">
        <v>49.5</v>
      </c>
      <c r="K2">
        <v>1005.2</v>
      </c>
      <c r="L2">
        <v>2.56</v>
      </c>
      <c r="M2">
        <v>75.7</v>
      </c>
      <c r="N2">
        <v>92.35</v>
      </c>
      <c r="O2" t="s">
        <v>17</v>
      </c>
      <c r="P2">
        <v>97.53</v>
      </c>
    </row>
    <row r="3" spans="1:16" x14ac:dyDescent="0.25">
      <c r="A3">
        <v>2</v>
      </c>
      <c r="B3" s="1">
        <v>45873</v>
      </c>
      <c r="C3" t="s">
        <v>18</v>
      </c>
      <c r="D3">
        <v>98.143000000000001</v>
      </c>
      <c r="E3">
        <v>26.7</v>
      </c>
      <c r="F3">
        <v>1</v>
      </c>
      <c r="G3">
        <v>2.83</v>
      </c>
      <c r="H3">
        <v>221.2</v>
      </c>
      <c r="I3">
        <v>22.9</v>
      </c>
      <c r="J3">
        <v>46.5</v>
      </c>
      <c r="K3">
        <v>959</v>
      </c>
      <c r="L3">
        <v>2.37</v>
      </c>
      <c r="M3">
        <v>35.4</v>
      </c>
      <c r="N3">
        <v>97.05</v>
      </c>
      <c r="O3" t="s">
        <v>19</v>
      </c>
      <c r="P3">
        <v>97.7</v>
      </c>
    </row>
    <row r="4" spans="1:16" x14ac:dyDescent="0.25">
      <c r="A4">
        <v>3</v>
      </c>
      <c r="B4" s="1">
        <v>45875</v>
      </c>
      <c r="C4" t="s">
        <v>20</v>
      </c>
      <c r="D4">
        <v>99.132999999999996</v>
      </c>
      <c r="E4">
        <v>12.5</v>
      </c>
      <c r="F4">
        <v>0</v>
      </c>
      <c r="G4">
        <v>4.58</v>
      </c>
      <c r="H4">
        <v>615.6</v>
      </c>
      <c r="I4">
        <v>21.1</v>
      </c>
      <c r="J4">
        <v>38.700000000000003</v>
      </c>
      <c r="K4">
        <v>816.6</v>
      </c>
      <c r="L4">
        <v>3.77</v>
      </c>
      <c r="M4">
        <v>65</v>
      </c>
      <c r="N4">
        <v>98.21</v>
      </c>
      <c r="O4" t="s">
        <v>17</v>
      </c>
      <c r="P4">
        <v>97.68</v>
      </c>
    </row>
    <row r="5" spans="1:16" x14ac:dyDescent="0.25">
      <c r="A5">
        <v>4</v>
      </c>
      <c r="B5" s="1">
        <v>45877</v>
      </c>
      <c r="C5" t="s">
        <v>21</v>
      </c>
      <c r="D5">
        <v>99.245000000000005</v>
      </c>
      <c r="E5">
        <v>10.9</v>
      </c>
      <c r="F5">
        <v>2</v>
      </c>
      <c r="G5">
        <v>1.17</v>
      </c>
      <c r="H5">
        <v>215.8</v>
      </c>
      <c r="I5">
        <v>18.3</v>
      </c>
      <c r="J5">
        <v>50.6</v>
      </c>
      <c r="K5">
        <v>1050.5999999999999</v>
      </c>
      <c r="L5">
        <v>2.04</v>
      </c>
      <c r="M5">
        <v>45</v>
      </c>
      <c r="N5">
        <v>97.72</v>
      </c>
      <c r="O5" t="s">
        <v>17</v>
      </c>
      <c r="P5">
        <v>98.24</v>
      </c>
    </row>
    <row r="6" spans="1:16" x14ac:dyDescent="0.25">
      <c r="A6">
        <v>5</v>
      </c>
      <c r="B6" s="1">
        <v>45878</v>
      </c>
      <c r="C6" t="s">
        <v>20</v>
      </c>
      <c r="D6">
        <v>97.132999999999996</v>
      </c>
      <c r="E6">
        <v>41.3</v>
      </c>
      <c r="F6">
        <v>3</v>
      </c>
      <c r="G6">
        <v>2.82</v>
      </c>
      <c r="H6">
        <v>230.5</v>
      </c>
      <c r="I6">
        <v>20.5</v>
      </c>
      <c r="J6">
        <v>49.1</v>
      </c>
      <c r="K6">
        <v>1051.4000000000001</v>
      </c>
      <c r="L6">
        <v>2.97</v>
      </c>
      <c r="M6">
        <v>30.8</v>
      </c>
      <c r="N6">
        <v>93.65</v>
      </c>
      <c r="O6" t="s">
        <v>17</v>
      </c>
      <c r="P6">
        <v>95.34</v>
      </c>
    </row>
    <row r="7" spans="1:16" x14ac:dyDescent="0.25">
      <c r="A7">
        <v>6</v>
      </c>
      <c r="B7" s="1">
        <v>45880</v>
      </c>
      <c r="C7" t="s">
        <v>16</v>
      </c>
      <c r="D7">
        <v>97.212999999999994</v>
      </c>
      <c r="E7">
        <v>40.1</v>
      </c>
      <c r="F7">
        <v>2</v>
      </c>
      <c r="G7">
        <v>0.55000000000000004</v>
      </c>
      <c r="H7">
        <v>678.7</v>
      </c>
      <c r="I7">
        <v>20.6</v>
      </c>
      <c r="J7">
        <v>45.3</v>
      </c>
      <c r="K7">
        <v>999.8</v>
      </c>
      <c r="L7">
        <v>1.08</v>
      </c>
      <c r="M7">
        <v>79.7</v>
      </c>
      <c r="N7">
        <v>90.13</v>
      </c>
      <c r="O7" t="s">
        <v>17</v>
      </c>
      <c r="P7">
        <v>95.32</v>
      </c>
    </row>
    <row r="8" spans="1:16" x14ac:dyDescent="0.25">
      <c r="A8">
        <v>7</v>
      </c>
      <c r="B8" s="1">
        <v>45882</v>
      </c>
      <c r="C8" t="s">
        <v>16</v>
      </c>
      <c r="D8">
        <v>97.103999999999999</v>
      </c>
      <c r="E8">
        <v>41.7</v>
      </c>
      <c r="F8">
        <v>5</v>
      </c>
      <c r="G8">
        <v>4.68</v>
      </c>
      <c r="H8">
        <v>476.7</v>
      </c>
      <c r="I8">
        <v>20.3</v>
      </c>
      <c r="J8">
        <v>47.3</v>
      </c>
      <c r="K8">
        <v>817.8</v>
      </c>
      <c r="L8">
        <v>4.3499999999999996</v>
      </c>
      <c r="M8">
        <v>38.5</v>
      </c>
      <c r="N8">
        <v>94.37</v>
      </c>
      <c r="O8" t="s">
        <v>19</v>
      </c>
      <c r="P8">
        <v>97.66</v>
      </c>
    </row>
    <row r="9" spans="1:16" x14ac:dyDescent="0.25">
      <c r="A9">
        <v>8</v>
      </c>
      <c r="B9" s="1">
        <v>45884</v>
      </c>
      <c r="C9" t="s">
        <v>18</v>
      </c>
      <c r="D9">
        <v>97.891999999999996</v>
      </c>
      <c r="E9">
        <v>30.4</v>
      </c>
      <c r="F9">
        <v>5</v>
      </c>
      <c r="G9">
        <v>3.14</v>
      </c>
      <c r="H9">
        <v>641.1</v>
      </c>
      <c r="I9">
        <v>18.100000000000001</v>
      </c>
      <c r="J9">
        <v>52.6</v>
      </c>
      <c r="K9">
        <v>1183.0999999999999</v>
      </c>
      <c r="L9">
        <v>4</v>
      </c>
      <c r="M9">
        <v>72.599999999999994</v>
      </c>
      <c r="N9">
        <v>91.62</v>
      </c>
      <c r="O9" t="s">
        <v>17</v>
      </c>
      <c r="P9">
        <v>97.26</v>
      </c>
    </row>
    <row r="10" spans="1:16" x14ac:dyDescent="0.25">
      <c r="A10">
        <v>9</v>
      </c>
      <c r="B10" s="1">
        <v>45885</v>
      </c>
      <c r="C10" t="s">
        <v>18</v>
      </c>
      <c r="D10">
        <v>99.328000000000003</v>
      </c>
      <c r="E10">
        <v>9.6999999999999993</v>
      </c>
      <c r="F10">
        <v>0</v>
      </c>
      <c r="G10">
        <v>1.1100000000000001</v>
      </c>
      <c r="H10">
        <v>329.4</v>
      </c>
      <c r="I10">
        <v>21.5</v>
      </c>
      <c r="J10">
        <v>45.3</v>
      </c>
      <c r="K10">
        <v>1194.8</v>
      </c>
      <c r="L10">
        <v>7.9</v>
      </c>
      <c r="M10">
        <v>70.3</v>
      </c>
      <c r="N10">
        <v>97.15</v>
      </c>
      <c r="O10" t="s">
        <v>17</v>
      </c>
      <c r="P10">
        <v>97.76</v>
      </c>
    </row>
    <row r="11" spans="1:16" x14ac:dyDescent="0.25">
      <c r="A11">
        <v>10</v>
      </c>
      <c r="B11" s="1">
        <v>45887</v>
      </c>
      <c r="C11" t="s">
        <v>21</v>
      </c>
      <c r="D11">
        <v>98.951999999999998</v>
      </c>
      <c r="E11">
        <v>15.1</v>
      </c>
      <c r="F11">
        <v>0</v>
      </c>
      <c r="G11">
        <v>2.0499999999999998</v>
      </c>
      <c r="H11">
        <v>757.4</v>
      </c>
      <c r="I11">
        <v>18.2</v>
      </c>
      <c r="J11">
        <v>39.4</v>
      </c>
      <c r="K11">
        <v>906.2</v>
      </c>
      <c r="L11">
        <v>1.35</v>
      </c>
      <c r="M11">
        <v>43</v>
      </c>
      <c r="N11">
        <v>95.92</v>
      </c>
      <c r="O11" t="s">
        <v>17</v>
      </c>
      <c r="P11">
        <v>95.47</v>
      </c>
    </row>
    <row r="12" spans="1:16" x14ac:dyDescent="0.25">
      <c r="A12">
        <v>11</v>
      </c>
      <c r="B12" s="1">
        <v>45889</v>
      </c>
      <c r="C12" t="s">
        <v>21</v>
      </c>
      <c r="D12">
        <v>97.364000000000004</v>
      </c>
      <c r="E12">
        <v>38</v>
      </c>
      <c r="F12">
        <v>0</v>
      </c>
      <c r="G12">
        <v>1.95</v>
      </c>
      <c r="H12">
        <v>394.3</v>
      </c>
      <c r="I12">
        <v>22.5</v>
      </c>
      <c r="J12">
        <v>51.5</v>
      </c>
      <c r="K12">
        <v>803.6</v>
      </c>
      <c r="L12">
        <v>1.38</v>
      </c>
      <c r="M12">
        <v>80.400000000000006</v>
      </c>
      <c r="N12">
        <v>98.96</v>
      </c>
      <c r="O12" t="s">
        <v>17</v>
      </c>
      <c r="P12">
        <v>99.63</v>
      </c>
    </row>
    <row r="13" spans="1:16" x14ac:dyDescent="0.25">
      <c r="A13">
        <v>12</v>
      </c>
      <c r="B13" s="1">
        <v>45891</v>
      </c>
      <c r="C13" t="s">
        <v>21</v>
      </c>
      <c r="D13">
        <v>97.837999999999994</v>
      </c>
      <c r="E13">
        <v>31.1</v>
      </c>
      <c r="F13">
        <v>3</v>
      </c>
      <c r="G13">
        <v>3.36</v>
      </c>
      <c r="H13">
        <v>575.20000000000005</v>
      </c>
      <c r="I13">
        <v>19.2</v>
      </c>
      <c r="J13">
        <v>40.9</v>
      </c>
      <c r="K13">
        <v>873.2</v>
      </c>
      <c r="L13">
        <v>1.27</v>
      </c>
      <c r="M13">
        <v>43.9</v>
      </c>
      <c r="N13">
        <v>99.33</v>
      </c>
      <c r="O13" t="s">
        <v>19</v>
      </c>
      <c r="P13">
        <v>98.91</v>
      </c>
    </row>
    <row r="14" spans="1:16" x14ac:dyDescent="0.25">
      <c r="A14">
        <v>13</v>
      </c>
      <c r="B14" s="1">
        <v>45892</v>
      </c>
      <c r="C14" t="s">
        <v>20</v>
      </c>
      <c r="D14">
        <v>99.65</v>
      </c>
      <c r="E14">
        <v>5</v>
      </c>
      <c r="F14">
        <v>1</v>
      </c>
      <c r="G14">
        <v>1.83</v>
      </c>
      <c r="H14">
        <v>536</v>
      </c>
      <c r="I14">
        <v>21.3</v>
      </c>
      <c r="J14">
        <v>49.2</v>
      </c>
      <c r="K14">
        <v>848.8</v>
      </c>
      <c r="L14">
        <v>6.38</v>
      </c>
      <c r="M14">
        <v>53.5</v>
      </c>
      <c r="N14">
        <v>98.81</v>
      </c>
      <c r="O14" t="s">
        <v>17</v>
      </c>
      <c r="P14">
        <v>96.74</v>
      </c>
    </row>
    <row r="15" spans="1:16" x14ac:dyDescent="0.25">
      <c r="A15">
        <v>14</v>
      </c>
      <c r="B15" s="1">
        <v>45894</v>
      </c>
      <c r="C15" t="s">
        <v>21</v>
      </c>
      <c r="D15">
        <v>98.391000000000005</v>
      </c>
      <c r="E15">
        <v>23.2</v>
      </c>
      <c r="F15">
        <v>3</v>
      </c>
      <c r="G15">
        <v>4.76</v>
      </c>
      <c r="H15">
        <v>686.2</v>
      </c>
      <c r="I15">
        <v>18.8</v>
      </c>
      <c r="J15">
        <v>37.1</v>
      </c>
      <c r="K15">
        <v>801.1</v>
      </c>
      <c r="L15">
        <v>2.64</v>
      </c>
      <c r="M15">
        <v>86.4</v>
      </c>
      <c r="N15">
        <v>97.2</v>
      </c>
      <c r="O15" t="s">
        <v>17</v>
      </c>
      <c r="P15">
        <v>97.95</v>
      </c>
    </row>
    <row r="16" spans="1:16" x14ac:dyDescent="0.25">
      <c r="A16">
        <v>15</v>
      </c>
      <c r="B16" s="1">
        <v>45896</v>
      </c>
      <c r="C16" t="s">
        <v>18</v>
      </c>
      <c r="D16">
        <v>97.375</v>
      </c>
      <c r="E16">
        <v>37.799999999999997</v>
      </c>
      <c r="F16">
        <v>5</v>
      </c>
      <c r="G16">
        <v>4.84</v>
      </c>
      <c r="H16">
        <v>734.3</v>
      </c>
      <c r="I16">
        <v>19</v>
      </c>
      <c r="J16">
        <v>41.7</v>
      </c>
      <c r="K16">
        <v>1016.9</v>
      </c>
      <c r="L16">
        <v>6.54</v>
      </c>
      <c r="M16">
        <v>86.5</v>
      </c>
      <c r="N16">
        <v>98.22</v>
      </c>
      <c r="O16" t="s">
        <v>19</v>
      </c>
      <c r="P16">
        <v>96.4</v>
      </c>
    </row>
    <row r="17" spans="1:16" x14ac:dyDescent="0.25">
      <c r="A17">
        <v>16</v>
      </c>
      <c r="B17" s="1">
        <v>45898</v>
      </c>
      <c r="C17" t="s">
        <v>18</v>
      </c>
      <c r="D17">
        <v>98.576999999999998</v>
      </c>
      <c r="E17">
        <v>20.5</v>
      </c>
      <c r="F17">
        <v>4</v>
      </c>
      <c r="G17">
        <v>1.61</v>
      </c>
      <c r="H17">
        <v>732.8</v>
      </c>
      <c r="I17">
        <v>22</v>
      </c>
      <c r="J17">
        <v>38.799999999999997</v>
      </c>
      <c r="K17">
        <v>910.9</v>
      </c>
      <c r="L17">
        <v>3.06</v>
      </c>
      <c r="M17">
        <v>80</v>
      </c>
      <c r="N17">
        <v>96.4</v>
      </c>
      <c r="O17" t="s">
        <v>17</v>
      </c>
      <c r="P17">
        <v>97.1</v>
      </c>
    </row>
    <row r="18" spans="1:16" x14ac:dyDescent="0.25">
      <c r="A18">
        <v>17</v>
      </c>
      <c r="B18" s="1">
        <v>45899</v>
      </c>
      <c r="C18" t="s">
        <v>21</v>
      </c>
      <c r="D18">
        <v>99.64</v>
      </c>
      <c r="E18">
        <v>5.2</v>
      </c>
      <c r="F18">
        <v>4</v>
      </c>
      <c r="G18">
        <v>4.79</v>
      </c>
      <c r="H18">
        <v>765.9</v>
      </c>
      <c r="I18">
        <v>20.8</v>
      </c>
      <c r="J18">
        <v>52.8</v>
      </c>
      <c r="K18">
        <v>1187.7</v>
      </c>
      <c r="L18">
        <v>2.41</v>
      </c>
      <c r="M18">
        <v>65.3</v>
      </c>
      <c r="N18">
        <v>92.11</v>
      </c>
      <c r="O18" t="s">
        <v>19</v>
      </c>
      <c r="P18">
        <v>97.5</v>
      </c>
    </row>
    <row r="19" spans="1:16" x14ac:dyDescent="0.25">
      <c r="A19">
        <v>18</v>
      </c>
      <c r="B19" s="1">
        <v>45901</v>
      </c>
      <c r="C19" t="s">
        <v>16</v>
      </c>
      <c r="D19">
        <v>97.332999999999998</v>
      </c>
      <c r="E19">
        <v>38.4</v>
      </c>
      <c r="F19">
        <v>4</v>
      </c>
      <c r="G19">
        <v>2.0699999999999998</v>
      </c>
      <c r="H19">
        <v>512.70000000000005</v>
      </c>
      <c r="I19">
        <v>22.3</v>
      </c>
      <c r="J19">
        <v>39</v>
      </c>
      <c r="K19">
        <v>1011.9</v>
      </c>
      <c r="L19">
        <v>8.1</v>
      </c>
      <c r="M19">
        <v>64.900000000000006</v>
      </c>
      <c r="N19">
        <v>91.99</v>
      </c>
      <c r="O19" t="s">
        <v>19</v>
      </c>
      <c r="P19">
        <v>95.26</v>
      </c>
    </row>
    <row r="20" spans="1:16" x14ac:dyDescent="0.25">
      <c r="A20">
        <v>19</v>
      </c>
      <c r="B20" s="1">
        <v>45903</v>
      </c>
      <c r="C20" t="s">
        <v>20</v>
      </c>
      <c r="D20">
        <v>97.643000000000001</v>
      </c>
      <c r="E20">
        <v>33.9</v>
      </c>
      <c r="F20">
        <v>1</v>
      </c>
      <c r="G20">
        <v>1.27</v>
      </c>
      <c r="H20">
        <v>374.8</v>
      </c>
      <c r="I20">
        <v>19.600000000000001</v>
      </c>
      <c r="J20">
        <v>52.6</v>
      </c>
      <c r="K20">
        <v>988</v>
      </c>
      <c r="L20">
        <v>4.3099999999999996</v>
      </c>
      <c r="M20">
        <v>57.2</v>
      </c>
      <c r="N20">
        <v>97.63</v>
      </c>
      <c r="O20" t="s">
        <v>19</v>
      </c>
      <c r="P20">
        <v>100</v>
      </c>
    </row>
    <row r="21" spans="1:16" x14ac:dyDescent="0.25">
      <c r="A21">
        <v>20</v>
      </c>
      <c r="B21" s="1">
        <v>45905</v>
      </c>
      <c r="C21" t="s">
        <v>18</v>
      </c>
      <c r="D21">
        <v>99.57</v>
      </c>
      <c r="E21">
        <v>6.2</v>
      </c>
      <c r="F21">
        <v>1</v>
      </c>
      <c r="G21">
        <v>1.33</v>
      </c>
      <c r="H21">
        <v>762.8</v>
      </c>
      <c r="I21">
        <v>21.6</v>
      </c>
      <c r="J21">
        <v>47.3</v>
      </c>
      <c r="K21">
        <v>954.8</v>
      </c>
      <c r="L21">
        <v>9.61</v>
      </c>
      <c r="M21">
        <v>34.700000000000003</v>
      </c>
      <c r="N21">
        <v>94.71</v>
      </c>
      <c r="O21" t="s">
        <v>19</v>
      </c>
      <c r="P21">
        <v>96.56</v>
      </c>
    </row>
    <row r="22" spans="1:16" x14ac:dyDescent="0.25">
      <c r="A22">
        <v>21</v>
      </c>
      <c r="B22" s="1">
        <v>45906</v>
      </c>
      <c r="C22" t="s">
        <v>21</v>
      </c>
      <c r="D22">
        <v>99.644000000000005</v>
      </c>
      <c r="E22">
        <v>5.0999999999999996</v>
      </c>
      <c r="F22">
        <v>5</v>
      </c>
      <c r="G22">
        <v>0.56999999999999995</v>
      </c>
      <c r="H22">
        <v>379</v>
      </c>
      <c r="I22">
        <v>21.5</v>
      </c>
      <c r="J22">
        <v>35.4</v>
      </c>
      <c r="K22">
        <v>1156.3</v>
      </c>
      <c r="L22">
        <v>4.7</v>
      </c>
      <c r="M22">
        <v>70.599999999999994</v>
      </c>
      <c r="N22">
        <v>96.56</v>
      </c>
      <c r="O22" t="s">
        <v>19</v>
      </c>
      <c r="P22">
        <v>96.48</v>
      </c>
    </row>
    <row r="23" spans="1:16" x14ac:dyDescent="0.25">
      <c r="A23">
        <v>22</v>
      </c>
      <c r="B23" s="1">
        <v>45908</v>
      </c>
      <c r="C23" t="s">
        <v>21</v>
      </c>
      <c r="D23">
        <v>99.257000000000005</v>
      </c>
      <c r="E23">
        <v>10.7</v>
      </c>
      <c r="F23">
        <v>0</v>
      </c>
      <c r="G23">
        <v>2.0299999999999998</v>
      </c>
      <c r="H23">
        <v>594.29999999999995</v>
      </c>
      <c r="I23">
        <v>18.3</v>
      </c>
      <c r="J23">
        <v>48.7</v>
      </c>
      <c r="K23">
        <v>1008.8</v>
      </c>
      <c r="L23">
        <v>4.28</v>
      </c>
      <c r="M23">
        <v>50.6</v>
      </c>
      <c r="N23">
        <v>92.19</v>
      </c>
      <c r="O23" t="s">
        <v>19</v>
      </c>
      <c r="P23">
        <v>98.22</v>
      </c>
    </row>
    <row r="24" spans="1:16" x14ac:dyDescent="0.25">
      <c r="A24">
        <v>23</v>
      </c>
      <c r="B24" s="1">
        <v>45910</v>
      </c>
      <c r="C24" t="s">
        <v>16</v>
      </c>
      <c r="D24">
        <v>97.965999999999994</v>
      </c>
      <c r="E24">
        <v>29.3</v>
      </c>
      <c r="F24">
        <v>3</v>
      </c>
      <c r="G24">
        <v>0.95</v>
      </c>
      <c r="H24">
        <v>281.5</v>
      </c>
      <c r="I24">
        <v>23.1</v>
      </c>
      <c r="J24">
        <v>40.799999999999997</v>
      </c>
      <c r="K24">
        <v>1191.5999999999999</v>
      </c>
      <c r="L24">
        <v>4.16</v>
      </c>
      <c r="M24">
        <v>30</v>
      </c>
      <c r="N24">
        <v>95.79</v>
      </c>
      <c r="O24" t="s">
        <v>17</v>
      </c>
      <c r="P24">
        <v>95.78</v>
      </c>
    </row>
    <row r="25" spans="1:16" x14ac:dyDescent="0.25">
      <c r="A25">
        <v>24</v>
      </c>
      <c r="B25" s="1">
        <v>45912</v>
      </c>
      <c r="C25" t="s">
        <v>20</v>
      </c>
      <c r="D25">
        <v>98.932000000000002</v>
      </c>
      <c r="E25">
        <v>15.4</v>
      </c>
      <c r="F25">
        <v>0</v>
      </c>
      <c r="G25">
        <v>4.75</v>
      </c>
      <c r="H25">
        <v>308.10000000000002</v>
      </c>
      <c r="I25">
        <v>21.9</v>
      </c>
      <c r="J25">
        <v>39</v>
      </c>
      <c r="K25">
        <v>1056.7</v>
      </c>
      <c r="L25">
        <v>6.87</v>
      </c>
      <c r="M25">
        <v>81.599999999999994</v>
      </c>
      <c r="N25">
        <v>93.56</v>
      </c>
      <c r="O25" t="s">
        <v>19</v>
      </c>
      <c r="P25">
        <v>97.11</v>
      </c>
    </row>
    <row r="26" spans="1:16" x14ac:dyDescent="0.25">
      <c r="A26">
        <v>25</v>
      </c>
      <c r="B26" s="1">
        <v>45913</v>
      </c>
      <c r="C26" t="s">
        <v>18</v>
      </c>
      <c r="D26">
        <v>97.585999999999999</v>
      </c>
      <c r="E26">
        <v>34.799999999999997</v>
      </c>
      <c r="F26">
        <v>4</v>
      </c>
      <c r="G26">
        <v>2.99</v>
      </c>
      <c r="H26">
        <v>522.5</v>
      </c>
      <c r="I26">
        <v>22</v>
      </c>
      <c r="J26">
        <v>43.2</v>
      </c>
      <c r="K26">
        <v>1061.9000000000001</v>
      </c>
      <c r="L26">
        <v>9.77</v>
      </c>
      <c r="M26">
        <v>71.8</v>
      </c>
      <c r="N26">
        <v>92.26</v>
      </c>
      <c r="O26" t="s">
        <v>17</v>
      </c>
      <c r="P26">
        <v>97.7</v>
      </c>
    </row>
    <row r="27" spans="1:16" x14ac:dyDescent="0.25">
      <c r="A27">
        <v>26</v>
      </c>
      <c r="B27" s="1">
        <v>45915</v>
      </c>
      <c r="C27" t="s">
        <v>21</v>
      </c>
      <c r="D27">
        <v>99.081000000000003</v>
      </c>
      <c r="E27">
        <v>13.2</v>
      </c>
      <c r="F27">
        <v>1</v>
      </c>
      <c r="G27">
        <v>3.15</v>
      </c>
      <c r="H27">
        <v>650.9</v>
      </c>
      <c r="I27">
        <v>20.7</v>
      </c>
      <c r="J27">
        <v>54.8</v>
      </c>
      <c r="K27">
        <v>1000.7</v>
      </c>
      <c r="L27">
        <v>8.73</v>
      </c>
      <c r="M27">
        <v>32.5</v>
      </c>
      <c r="N27">
        <v>94.13</v>
      </c>
      <c r="O27" t="s">
        <v>17</v>
      </c>
      <c r="P27">
        <v>95.82</v>
      </c>
    </row>
    <row r="28" spans="1:16" x14ac:dyDescent="0.25">
      <c r="A28">
        <v>27</v>
      </c>
      <c r="B28" s="1">
        <v>45917</v>
      </c>
      <c r="C28" t="s">
        <v>16</v>
      </c>
      <c r="D28">
        <v>98.218999999999994</v>
      </c>
      <c r="E28">
        <v>25.6</v>
      </c>
      <c r="F28">
        <v>0</v>
      </c>
      <c r="G28">
        <v>4.79</v>
      </c>
      <c r="H28">
        <v>476.8</v>
      </c>
      <c r="I28">
        <v>19.899999999999999</v>
      </c>
      <c r="J28">
        <v>44.7</v>
      </c>
      <c r="K28">
        <v>1085.9000000000001</v>
      </c>
      <c r="L28">
        <v>4.7300000000000004</v>
      </c>
      <c r="M28">
        <v>35.700000000000003</v>
      </c>
      <c r="N28">
        <v>91.88</v>
      </c>
      <c r="O28" t="s">
        <v>19</v>
      </c>
      <c r="P28">
        <v>97.32</v>
      </c>
    </row>
    <row r="29" spans="1:16" x14ac:dyDescent="0.25">
      <c r="A29">
        <v>28</v>
      </c>
      <c r="B29" s="1">
        <v>45919</v>
      </c>
      <c r="C29" t="s">
        <v>21</v>
      </c>
      <c r="D29">
        <v>99.819000000000003</v>
      </c>
      <c r="E29">
        <v>2.6</v>
      </c>
      <c r="F29">
        <v>3</v>
      </c>
      <c r="G29">
        <v>1.44</v>
      </c>
      <c r="H29">
        <v>768.3</v>
      </c>
      <c r="I29">
        <v>23.3</v>
      </c>
      <c r="J29">
        <v>47.7</v>
      </c>
      <c r="K29">
        <v>1055.9000000000001</v>
      </c>
      <c r="L29">
        <v>8.59</v>
      </c>
      <c r="M29">
        <v>60.3</v>
      </c>
      <c r="N29">
        <v>93.25</v>
      </c>
      <c r="O29" t="s">
        <v>17</v>
      </c>
      <c r="P29">
        <v>95.55</v>
      </c>
    </row>
    <row r="30" spans="1:16" x14ac:dyDescent="0.25">
      <c r="A30">
        <v>29</v>
      </c>
      <c r="B30" s="1">
        <v>45920</v>
      </c>
      <c r="C30" t="s">
        <v>21</v>
      </c>
      <c r="D30">
        <v>98.876999999999995</v>
      </c>
      <c r="E30">
        <v>16.2</v>
      </c>
      <c r="F30">
        <v>5</v>
      </c>
      <c r="G30">
        <v>3.06</v>
      </c>
      <c r="H30">
        <v>292.39999999999998</v>
      </c>
      <c r="I30">
        <v>20.3</v>
      </c>
      <c r="J30">
        <v>37.700000000000003</v>
      </c>
      <c r="K30">
        <v>949.6</v>
      </c>
      <c r="L30">
        <v>1.99</v>
      </c>
      <c r="M30">
        <v>30.3</v>
      </c>
      <c r="N30">
        <v>96.53</v>
      </c>
      <c r="O30" t="s">
        <v>17</v>
      </c>
      <c r="P30">
        <v>96.18</v>
      </c>
    </row>
    <row r="31" spans="1:16" x14ac:dyDescent="0.25">
      <c r="A31">
        <v>30</v>
      </c>
      <c r="B31" s="1">
        <v>45922</v>
      </c>
      <c r="C31" t="s">
        <v>21</v>
      </c>
      <c r="D31">
        <v>99.480999999999995</v>
      </c>
      <c r="E31">
        <v>7.5</v>
      </c>
      <c r="F31">
        <v>4</v>
      </c>
      <c r="G31">
        <v>2.2999999999999998</v>
      </c>
      <c r="H31">
        <v>559</v>
      </c>
      <c r="I31">
        <v>18.8</v>
      </c>
      <c r="J31">
        <v>50.8</v>
      </c>
      <c r="K31">
        <v>915.4</v>
      </c>
      <c r="L31">
        <v>5.9</v>
      </c>
      <c r="M31">
        <v>33</v>
      </c>
      <c r="N31">
        <v>90.01</v>
      </c>
      <c r="O31" t="s">
        <v>19</v>
      </c>
      <c r="P31">
        <v>95.47</v>
      </c>
    </row>
    <row r="32" spans="1:16" x14ac:dyDescent="0.25">
      <c r="A32">
        <v>31</v>
      </c>
      <c r="B32" s="1">
        <v>45924</v>
      </c>
      <c r="C32" t="s">
        <v>16</v>
      </c>
      <c r="D32">
        <v>99.36</v>
      </c>
      <c r="E32">
        <v>9.1999999999999993</v>
      </c>
      <c r="F32">
        <v>3</v>
      </c>
      <c r="G32">
        <v>3.74</v>
      </c>
      <c r="H32">
        <v>740.7</v>
      </c>
      <c r="I32">
        <v>22.1</v>
      </c>
      <c r="J32">
        <v>52.8</v>
      </c>
      <c r="K32">
        <v>940.9</v>
      </c>
      <c r="L32">
        <v>4.6399999999999997</v>
      </c>
      <c r="M32">
        <v>81.5</v>
      </c>
      <c r="N32">
        <v>97.95</v>
      </c>
      <c r="O32" t="s">
        <v>19</v>
      </c>
      <c r="P32">
        <v>99.71</v>
      </c>
    </row>
    <row r="33" spans="1:16" x14ac:dyDescent="0.25">
      <c r="A33">
        <v>32</v>
      </c>
      <c r="B33" s="1">
        <v>45926</v>
      </c>
      <c r="C33" t="s">
        <v>21</v>
      </c>
      <c r="D33">
        <v>98.988</v>
      </c>
      <c r="E33">
        <v>14.6</v>
      </c>
      <c r="F33">
        <v>0</v>
      </c>
      <c r="G33">
        <v>4.09</v>
      </c>
      <c r="H33">
        <v>760.7</v>
      </c>
      <c r="I33">
        <v>23.1</v>
      </c>
      <c r="J33">
        <v>38.700000000000003</v>
      </c>
      <c r="K33">
        <v>1084.7</v>
      </c>
      <c r="L33">
        <v>9.6999999999999993</v>
      </c>
      <c r="M33">
        <v>78.400000000000006</v>
      </c>
      <c r="N33">
        <v>98.14</v>
      </c>
      <c r="O33" t="s">
        <v>17</v>
      </c>
      <c r="P33">
        <v>99.53</v>
      </c>
    </row>
    <row r="34" spans="1:16" x14ac:dyDescent="0.25">
      <c r="A34">
        <v>33</v>
      </c>
      <c r="B34" s="1">
        <v>45927</v>
      </c>
      <c r="C34" t="s">
        <v>20</v>
      </c>
      <c r="D34">
        <v>97.813000000000002</v>
      </c>
      <c r="E34">
        <v>31.5</v>
      </c>
      <c r="F34">
        <v>4</v>
      </c>
      <c r="G34">
        <v>2.12</v>
      </c>
      <c r="H34">
        <v>545.20000000000005</v>
      </c>
      <c r="I34">
        <v>23.5</v>
      </c>
      <c r="J34">
        <v>53.4</v>
      </c>
      <c r="K34">
        <v>823.9</v>
      </c>
      <c r="L34">
        <v>8.6199999999999992</v>
      </c>
      <c r="M34">
        <v>50.9</v>
      </c>
      <c r="N34">
        <v>98.5</v>
      </c>
      <c r="O34" t="s">
        <v>17</v>
      </c>
      <c r="P34">
        <v>95.52</v>
      </c>
    </row>
    <row r="35" spans="1:16" x14ac:dyDescent="0.25">
      <c r="A35">
        <v>34</v>
      </c>
      <c r="B35" s="1">
        <v>45929</v>
      </c>
      <c r="C35" t="s">
        <v>21</v>
      </c>
      <c r="D35">
        <v>97.396000000000001</v>
      </c>
      <c r="E35">
        <v>37.5</v>
      </c>
      <c r="F35">
        <v>5</v>
      </c>
      <c r="G35">
        <v>2.81</v>
      </c>
      <c r="H35">
        <v>781</v>
      </c>
      <c r="I35">
        <v>18.2</v>
      </c>
      <c r="J35">
        <v>46.1</v>
      </c>
      <c r="K35">
        <v>1062.7</v>
      </c>
      <c r="L35">
        <v>3.86</v>
      </c>
      <c r="M35">
        <v>37.799999999999997</v>
      </c>
      <c r="N35">
        <v>91.99</v>
      </c>
      <c r="O35" t="s">
        <v>19</v>
      </c>
      <c r="P35">
        <v>95.58</v>
      </c>
    </row>
    <row r="36" spans="1:16" x14ac:dyDescent="0.25">
      <c r="A36">
        <v>35</v>
      </c>
      <c r="B36" s="1">
        <v>45931</v>
      </c>
      <c r="C36" t="s">
        <v>20</v>
      </c>
      <c r="D36">
        <v>98.393000000000001</v>
      </c>
      <c r="E36">
        <v>23.1</v>
      </c>
      <c r="F36">
        <v>2</v>
      </c>
      <c r="G36">
        <v>3.04</v>
      </c>
      <c r="H36">
        <v>788.2</v>
      </c>
      <c r="I36">
        <v>22.3</v>
      </c>
      <c r="J36">
        <v>40.5</v>
      </c>
      <c r="K36">
        <v>1197.8</v>
      </c>
      <c r="L36">
        <v>5.33</v>
      </c>
      <c r="M36">
        <v>67.099999999999994</v>
      </c>
      <c r="N36">
        <v>95.32</v>
      </c>
      <c r="O36" t="s">
        <v>17</v>
      </c>
      <c r="P36">
        <v>96.42</v>
      </c>
    </row>
    <row r="37" spans="1:16" x14ac:dyDescent="0.25">
      <c r="A37">
        <v>36</v>
      </c>
      <c r="B37" s="1">
        <v>45933</v>
      </c>
      <c r="C37" t="s">
        <v>21</v>
      </c>
      <c r="D37">
        <v>99.78</v>
      </c>
      <c r="E37">
        <v>3.2</v>
      </c>
      <c r="F37">
        <v>5</v>
      </c>
      <c r="G37">
        <v>4.84</v>
      </c>
      <c r="H37">
        <v>389.1</v>
      </c>
      <c r="I37">
        <v>19.399999999999999</v>
      </c>
      <c r="J37">
        <v>43.2</v>
      </c>
      <c r="K37">
        <v>1132.3</v>
      </c>
      <c r="L37">
        <v>8.85</v>
      </c>
      <c r="M37">
        <v>33.299999999999997</v>
      </c>
      <c r="N37">
        <v>98.29</v>
      </c>
      <c r="O37" t="s">
        <v>17</v>
      </c>
      <c r="P37">
        <v>99.19</v>
      </c>
    </row>
    <row r="38" spans="1:16" x14ac:dyDescent="0.25">
      <c r="A38">
        <v>37</v>
      </c>
      <c r="B38" s="1">
        <v>45934</v>
      </c>
      <c r="C38" t="s">
        <v>21</v>
      </c>
      <c r="D38">
        <v>99.668999999999997</v>
      </c>
      <c r="E38">
        <v>4.8</v>
      </c>
      <c r="F38">
        <v>1</v>
      </c>
      <c r="G38">
        <v>4.45</v>
      </c>
      <c r="H38">
        <v>284.7</v>
      </c>
      <c r="I38">
        <v>21.7</v>
      </c>
      <c r="J38">
        <v>47.3</v>
      </c>
      <c r="K38">
        <v>983.9</v>
      </c>
      <c r="L38">
        <v>7.89</v>
      </c>
      <c r="M38">
        <v>57.2</v>
      </c>
      <c r="N38">
        <v>96.78</v>
      </c>
      <c r="O38" t="s">
        <v>17</v>
      </c>
      <c r="P38">
        <v>96.84</v>
      </c>
    </row>
    <row r="39" spans="1:16" x14ac:dyDescent="0.25">
      <c r="A39">
        <v>38</v>
      </c>
      <c r="B39" s="1">
        <v>45936</v>
      </c>
      <c r="C39" t="s">
        <v>20</v>
      </c>
      <c r="D39">
        <v>97.340999999999994</v>
      </c>
      <c r="E39">
        <v>38.299999999999997</v>
      </c>
      <c r="F39">
        <v>0</v>
      </c>
      <c r="G39">
        <v>2.72</v>
      </c>
      <c r="H39">
        <v>507.8</v>
      </c>
      <c r="I39">
        <v>20.100000000000001</v>
      </c>
      <c r="J39">
        <v>44.4</v>
      </c>
      <c r="K39">
        <v>1074</v>
      </c>
      <c r="L39">
        <v>2.39</v>
      </c>
      <c r="M39">
        <v>67.599999999999994</v>
      </c>
      <c r="N39">
        <v>97.75</v>
      </c>
      <c r="O39" t="s">
        <v>17</v>
      </c>
      <c r="P39">
        <v>99.07</v>
      </c>
    </row>
    <row r="40" spans="1:16" x14ac:dyDescent="0.25">
      <c r="A40">
        <v>39</v>
      </c>
      <c r="B40" s="1">
        <v>45938</v>
      </c>
      <c r="C40" t="s">
        <v>21</v>
      </c>
      <c r="D40">
        <v>98.015000000000001</v>
      </c>
      <c r="E40">
        <v>28.6</v>
      </c>
      <c r="F40">
        <v>1</v>
      </c>
      <c r="G40">
        <v>1.76</v>
      </c>
      <c r="H40">
        <v>445.7</v>
      </c>
      <c r="I40">
        <v>21.3</v>
      </c>
      <c r="J40">
        <v>37.200000000000003</v>
      </c>
      <c r="K40">
        <v>857</v>
      </c>
      <c r="L40">
        <v>9.34</v>
      </c>
      <c r="M40">
        <v>53.2</v>
      </c>
      <c r="N40">
        <v>97.44</v>
      </c>
      <c r="O40" t="s">
        <v>19</v>
      </c>
      <c r="P40">
        <v>97.39</v>
      </c>
    </row>
    <row r="41" spans="1:16" x14ac:dyDescent="0.25">
      <c r="A41">
        <v>40</v>
      </c>
      <c r="B41" s="1">
        <v>45940</v>
      </c>
      <c r="C41" t="s">
        <v>21</v>
      </c>
      <c r="D41">
        <v>98.29</v>
      </c>
      <c r="E41">
        <v>24.6</v>
      </c>
      <c r="F41">
        <v>4</v>
      </c>
      <c r="G41">
        <v>1</v>
      </c>
      <c r="H41">
        <v>483.8</v>
      </c>
      <c r="I41">
        <v>19.2</v>
      </c>
      <c r="J41">
        <v>48.6</v>
      </c>
      <c r="K41">
        <v>1179.2</v>
      </c>
      <c r="L41">
        <v>1.89</v>
      </c>
      <c r="M41">
        <v>47.7</v>
      </c>
      <c r="N41">
        <v>97.21</v>
      </c>
      <c r="O41" t="s">
        <v>17</v>
      </c>
      <c r="P41">
        <v>97.71</v>
      </c>
    </row>
    <row r="42" spans="1:16" x14ac:dyDescent="0.25">
      <c r="A42">
        <v>41</v>
      </c>
      <c r="B42" s="1">
        <v>45941</v>
      </c>
      <c r="C42" t="s">
        <v>18</v>
      </c>
      <c r="D42">
        <v>99.956000000000003</v>
      </c>
      <c r="E42">
        <v>0.6</v>
      </c>
      <c r="F42">
        <v>0</v>
      </c>
      <c r="G42">
        <v>3.33</v>
      </c>
      <c r="H42">
        <v>357.6</v>
      </c>
      <c r="I42">
        <v>20.9</v>
      </c>
      <c r="J42">
        <v>45.5</v>
      </c>
      <c r="K42">
        <v>930.7</v>
      </c>
      <c r="L42">
        <v>6.95</v>
      </c>
      <c r="M42">
        <v>46.5</v>
      </c>
      <c r="N42">
        <v>91.75</v>
      </c>
      <c r="O42" t="s">
        <v>17</v>
      </c>
      <c r="P42">
        <v>95.22</v>
      </c>
    </row>
    <row r="43" spans="1:16" x14ac:dyDescent="0.25">
      <c r="A43">
        <v>42</v>
      </c>
      <c r="B43" s="1">
        <v>45943</v>
      </c>
      <c r="C43" t="s">
        <v>20</v>
      </c>
      <c r="D43">
        <v>97.518000000000001</v>
      </c>
      <c r="E43">
        <v>35.700000000000003</v>
      </c>
      <c r="F43">
        <v>1</v>
      </c>
      <c r="G43">
        <v>1.46</v>
      </c>
      <c r="H43">
        <v>636.4</v>
      </c>
      <c r="I43">
        <v>20.2</v>
      </c>
      <c r="J43">
        <v>52.8</v>
      </c>
      <c r="K43">
        <v>814.1</v>
      </c>
      <c r="L43">
        <v>4.97</v>
      </c>
      <c r="M43">
        <v>32.299999999999997</v>
      </c>
      <c r="N43">
        <v>98.61</v>
      </c>
      <c r="O43" t="s">
        <v>17</v>
      </c>
      <c r="P43">
        <v>95.77</v>
      </c>
    </row>
    <row r="44" spans="1:16" x14ac:dyDescent="0.25">
      <c r="A44">
        <v>43</v>
      </c>
      <c r="B44" s="1">
        <v>45945</v>
      </c>
      <c r="C44" t="s">
        <v>16</v>
      </c>
      <c r="D44">
        <v>99.015000000000001</v>
      </c>
      <c r="E44">
        <v>14.2</v>
      </c>
      <c r="F44">
        <v>5</v>
      </c>
      <c r="G44">
        <v>4.38</v>
      </c>
      <c r="H44">
        <v>226.3</v>
      </c>
      <c r="I44">
        <v>21.4</v>
      </c>
      <c r="J44">
        <v>53.1</v>
      </c>
      <c r="K44">
        <v>1147.0999999999999</v>
      </c>
      <c r="L44">
        <v>1.69</v>
      </c>
      <c r="M44">
        <v>37.5</v>
      </c>
      <c r="N44">
        <v>99.9</v>
      </c>
      <c r="O44" t="s">
        <v>17</v>
      </c>
      <c r="P44">
        <v>95.62</v>
      </c>
    </row>
    <row r="45" spans="1:16" x14ac:dyDescent="0.25">
      <c r="A45">
        <v>44</v>
      </c>
      <c r="B45" s="1">
        <v>45947</v>
      </c>
      <c r="C45" t="s">
        <v>18</v>
      </c>
      <c r="D45">
        <v>97.236000000000004</v>
      </c>
      <c r="E45">
        <v>39.799999999999997</v>
      </c>
      <c r="F45">
        <v>0</v>
      </c>
      <c r="G45">
        <v>1.62</v>
      </c>
      <c r="H45">
        <v>292.89999999999998</v>
      </c>
      <c r="I45">
        <v>21.9</v>
      </c>
      <c r="J45">
        <v>47.5</v>
      </c>
      <c r="K45">
        <v>971.5</v>
      </c>
      <c r="L45">
        <v>1.72</v>
      </c>
      <c r="M45">
        <v>60.5</v>
      </c>
      <c r="N45">
        <v>97.23</v>
      </c>
      <c r="O45" t="s">
        <v>19</v>
      </c>
      <c r="P45">
        <v>97.84</v>
      </c>
    </row>
    <row r="46" spans="1:16" x14ac:dyDescent="0.25">
      <c r="A46">
        <v>45</v>
      </c>
      <c r="B46" s="1">
        <v>45948</v>
      </c>
      <c r="C46" t="s">
        <v>18</v>
      </c>
      <c r="D46">
        <v>98.462000000000003</v>
      </c>
      <c r="E46">
        <v>22.1</v>
      </c>
      <c r="F46">
        <v>3</v>
      </c>
      <c r="G46">
        <v>0.66</v>
      </c>
      <c r="H46">
        <v>768.2</v>
      </c>
      <c r="I46">
        <v>19.7</v>
      </c>
      <c r="J46">
        <v>46.7</v>
      </c>
      <c r="K46">
        <v>843.4</v>
      </c>
      <c r="L46">
        <v>9.14</v>
      </c>
      <c r="M46">
        <v>81.2</v>
      </c>
      <c r="N46">
        <v>94.6</v>
      </c>
      <c r="O46" t="s">
        <v>19</v>
      </c>
      <c r="P46">
        <v>96.16</v>
      </c>
    </row>
    <row r="47" spans="1:16" x14ac:dyDescent="0.25">
      <c r="A47">
        <v>46</v>
      </c>
      <c r="B47" s="1">
        <v>45950</v>
      </c>
      <c r="C47" t="s">
        <v>16</v>
      </c>
      <c r="D47">
        <v>98.744</v>
      </c>
      <c r="E47">
        <v>18.100000000000001</v>
      </c>
      <c r="F47">
        <v>1</v>
      </c>
      <c r="G47">
        <v>0.71</v>
      </c>
      <c r="H47">
        <v>228.7</v>
      </c>
      <c r="I47">
        <v>19.399999999999999</v>
      </c>
      <c r="J47">
        <v>53.3</v>
      </c>
      <c r="K47">
        <v>1041.5</v>
      </c>
      <c r="L47">
        <v>1.86</v>
      </c>
      <c r="M47">
        <v>78.7</v>
      </c>
      <c r="N47">
        <v>98.84</v>
      </c>
      <c r="O47" t="s">
        <v>17</v>
      </c>
      <c r="P47">
        <v>99.42</v>
      </c>
    </row>
    <row r="48" spans="1:16" x14ac:dyDescent="0.25">
      <c r="A48">
        <v>47</v>
      </c>
      <c r="B48" s="1">
        <v>45952</v>
      </c>
      <c r="C48" t="s">
        <v>20</v>
      </c>
      <c r="D48">
        <v>98.245999999999995</v>
      </c>
      <c r="E48">
        <v>25.3</v>
      </c>
      <c r="F48">
        <v>4</v>
      </c>
      <c r="G48">
        <v>2.71</v>
      </c>
      <c r="H48">
        <v>297.5</v>
      </c>
      <c r="I48">
        <v>18.899999999999999</v>
      </c>
      <c r="J48">
        <v>54.5</v>
      </c>
      <c r="K48">
        <v>990.6</v>
      </c>
      <c r="L48">
        <v>2.86</v>
      </c>
      <c r="M48">
        <v>54.9</v>
      </c>
      <c r="N48">
        <v>93.61</v>
      </c>
      <c r="O48" t="s">
        <v>17</v>
      </c>
      <c r="P48">
        <v>95.89</v>
      </c>
    </row>
    <row r="49" spans="1:16" x14ac:dyDescent="0.25">
      <c r="A49">
        <v>48</v>
      </c>
      <c r="B49" s="1">
        <v>45954</v>
      </c>
      <c r="C49" t="s">
        <v>16</v>
      </c>
      <c r="D49">
        <v>99.13</v>
      </c>
      <c r="E49">
        <v>12.5</v>
      </c>
      <c r="F49">
        <v>0</v>
      </c>
      <c r="G49">
        <v>2.14</v>
      </c>
      <c r="H49">
        <v>335.1</v>
      </c>
      <c r="I49">
        <v>22.1</v>
      </c>
      <c r="J49">
        <v>44</v>
      </c>
      <c r="K49">
        <v>1169.3</v>
      </c>
      <c r="L49">
        <v>1.34</v>
      </c>
      <c r="M49">
        <v>32.700000000000003</v>
      </c>
      <c r="N49">
        <v>92.52</v>
      </c>
      <c r="O49" t="s">
        <v>17</v>
      </c>
      <c r="P49">
        <v>97.31</v>
      </c>
    </row>
    <row r="50" spans="1:16" x14ac:dyDescent="0.25">
      <c r="A50">
        <v>49</v>
      </c>
      <c r="B50" s="1">
        <v>45955</v>
      </c>
      <c r="C50" t="s">
        <v>18</v>
      </c>
      <c r="D50">
        <v>99.903999999999996</v>
      </c>
      <c r="E50">
        <v>1.4</v>
      </c>
      <c r="F50">
        <v>5</v>
      </c>
      <c r="G50">
        <v>1.67</v>
      </c>
      <c r="H50">
        <v>605</v>
      </c>
      <c r="I50">
        <v>21.7</v>
      </c>
      <c r="J50">
        <v>51.9</v>
      </c>
      <c r="K50">
        <v>825.4</v>
      </c>
      <c r="L50">
        <v>1.71</v>
      </c>
      <c r="M50">
        <v>40.299999999999997</v>
      </c>
      <c r="N50">
        <v>93.83</v>
      </c>
      <c r="O50" t="s">
        <v>17</v>
      </c>
      <c r="P50">
        <v>98.45</v>
      </c>
    </row>
    <row r="51" spans="1:16" x14ac:dyDescent="0.25">
      <c r="A51">
        <v>50</v>
      </c>
      <c r="B51" s="1">
        <v>45957</v>
      </c>
      <c r="C51" t="s">
        <v>18</v>
      </c>
      <c r="D51">
        <v>99.471999999999994</v>
      </c>
      <c r="E51">
        <v>7.6</v>
      </c>
      <c r="F51">
        <v>4</v>
      </c>
      <c r="G51">
        <v>2.3199999999999998</v>
      </c>
      <c r="H51">
        <v>299.5</v>
      </c>
      <c r="I51">
        <v>22.9</v>
      </c>
      <c r="J51">
        <v>35.1</v>
      </c>
      <c r="K51">
        <v>1148.0999999999999</v>
      </c>
      <c r="L51">
        <v>5.83</v>
      </c>
      <c r="M51">
        <v>42.4</v>
      </c>
      <c r="N51">
        <v>95.89</v>
      </c>
      <c r="O51" t="s">
        <v>19</v>
      </c>
      <c r="P51">
        <v>97.94</v>
      </c>
    </row>
    <row r="52" spans="1:16" x14ac:dyDescent="0.25">
      <c r="A52">
        <v>51</v>
      </c>
      <c r="B52" s="1">
        <v>45959</v>
      </c>
      <c r="C52" t="s">
        <v>20</v>
      </c>
      <c r="D52">
        <v>99.230999999999995</v>
      </c>
      <c r="E52">
        <v>11.1</v>
      </c>
      <c r="F52">
        <v>5</v>
      </c>
      <c r="G52">
        <v>1.29</v>
      </c>
      <c r="H52">
        <v>421.8</v>
      </c>
      <c r="I52">
        <v>20.8</v>
      </c>
      <c r="J52">
        <v>44.2</v>
      </c>
      <c r="K52">
        <v>1080.5</v>
      </c>
      <c r="L52">
        <v>6.89</v>
      </c>
      <c r="M52">
        <v>30.5</v>
      </c>
      <c r="N52">
        <v>95.13</v>
      </c>
      <c r="O52" t="s">
        <v>19</v>
      </c>
      <c r="P52">
        <v>98.7</v>
      </c>
    </row>
    <row r="53" spans="1:16" x14ac:dyDescent="0.25">
      <c r="A53">
        <v>52</v>
      </c>
      <c r="B53" s="1">
        <v>45961</v>
      </c>
      <c r="C53" t="s">
        <v>16</v>
      </c>
      <c r="D53">
        <v>97.593000000000004</v>
      </c>
      <c r="E53">
        <v>34.700000000000003</v>
      </c>
      <c r="F53">
        <v>0</v>
      </c>
      <c r="G53">
        <v>3.28</v>
      </c>
      <c r="H53">
        <v>523</v>
      </c>
      <c r="I53">
        <v>21.8</v>
      </c>
      <c r="J53">
        <v>54</v>
      </c>
      <c r="K53">
        <v>1013.7</v>
      </c>
      <c r="L53">
        <v>4.3600000000000003</v>
      </c>
      <c r="M53">
        <v>67.5</v>
      </c>
      <c r="N53">
        <v>91.68</v>
      </c>
      <c r="O53" t="s">
        <v>19</v>
      </c>
      <c r="P53">
        <v>99.4</v>
      </c>
    </row>
    <row r="54" spans="1:16" x14ac:dyDescent="0.25">
      <c r="A54">
        <v>53</v>
      </c>
      <c r="B54" s="1">
        <v>45962</v>
      </c>
      <c r="C54" t="s">
        <v>18</v>
      </c>
      <c r="D54">
        <v>97.078999999999994</v>
      </c>
      <c r="E54">
        <v>42.1</v>
      </c>
      <c r="F54">
        <v>3</v>
      </c>
      <c r="G54">
        <v>4.78</v>
      </c>
      <c r="H54">
        <v>656.5</v>
      </c>
      <c r="I54">
        <v>20.3</v>
      </c>
      <c r="J54">
        <v>45.6</v>
      </c>
      <c r="K54">
        <v>835.2</v>
      </c>
      <c r="L54">
        <v>4.8600000000000003</v>
      </c>
      <c r="M54">
        <v>36</v>
      </c>
      <c r="N54">
        <v>91.03</v>
      </c>
      <c r="O54" t="s">
        <v>19</v>
      </c>
      <c r="P54">
        <v>99.01</v>
      </c>
    </row>
    <row r="55" spans="1:16" x14ac:dyDescent="0.25">
      <c r="A55">
        <v>54</v>
      </c>
      <c r="B55" s="1">
        <v>45964</v>
      </c>
      <c r="C55" t="s">
        <v>21</v>
      </c>
      <c r="D55">
        <v>99.867000000000004</v>
      </c>
      <c r="E55">
        <v>1.9</v>
      </c>
      <c r="F55">
        <v>5</v>
      </c>
      <c r="G55">
        <v>3.48</v>
      </c>
      <c r="H55">
        <v>689.5</v>
      </c>
      <c r="I55">
        <v>19.5</v>
      </c>
      <c r="J55">
        <v>44.2</v>
      </c>
      <c r="K55">
        <v>970</v>
      </c>
      <c r="L55">
        <v>1.69</v>
      </c>
      <c r="M55">
        <v>78.5</v>
      </c>
      <c r="N55">
        <v>97.56</v>
      </c>
      <c r="O55" t="s">
        <v>19</v>
      </c>
      <c r="P55">
        <v>98.34</v>
      </c>
    </row>
    <row r="56" spans="1:16" x14ac:dyDescent="0.25">
      <c r="A56">
        <v>55</v>
      </c>
      <c r="B56" s="1">
        <v>45966</v>
      </c>
      <c r="C56" t="s">
        <v>21</v>
      </c>
      <c r="D56">
        <v>99.335999999999999</v>
      </c>
      <c r="E56">
        <v>9.6</v>
      </c>
      <c r="F56">
        <v>0</v>
      </c>
      <c r="G56">
        <v>4.1900000000000004</v>
      </c>
      <c r="H56">
        <v>271.39999999999998</v>
      </c>
      <c r="I56">
        <v>22.8</v>
      </c>
      <c r="J56">
        <v>45.8</v>
      </c>
      <c r="K56">
        <v>996</v>
      </c>
      <c r="L56">
        <v>1.33</v>
      </c>
      <c r="M56">
        <v>55.9</v>
      </c>
      <c r="N56">
        <v>91.1</v>
      </c>
      <c r="O56" t="s">
        <v>19</v>
      </c>
      <c r="P56">
        <v>96.24</v>
      </c>
    </row>
    <row r="57" spans="1:16" x14ac:dyDescent="0.25">
      <c r="A57">
        <v>56</v>
      </c>
      <c r="B57" s="1">
        <v>45968</v>
      </c>
      <c r="C57" t="s">
        <v>20</v>
      </c>
      <c r="D57">
        <v>98.248999999999995</v>
      </c>
      <c r="E57">
        <v>25.2</v>
      </c>
      <c r="F57">
        <v>3</v>
      </c>
      <c r="G57">
        <v>1.9</v>
      </c>
      <c r="H57">
        <v>258.8</v>
      </c>
      <c r="I57">
        <v>18.100000000000001</v>
      </c>
      <c r="J57">
        <v>49.3</v>
      </c>
      <c r="K57">
        <v>1094.5999999999999</v>
      </c>
      <c r="L57">
        <v>7.5</v>
      </c>
      <c r="M57">
        <v>89.8</v>
      </c>
      <c r="N57">
        <v>95.45</v>
      </c>
      <c r="O57" t="s">
        <v>19</v>
      </c>
      <c r="P57">
        <v>99.04</v>
      </c>
    </row>
    <row r="58" spans="1:16" x14ac:dyDescent="0.25">
      <c r="A58">
        <v>57</v>
      </c>
      <c r="B58" s="1">
        <v>45969</v>
      </c>
      <c r="C58" t="s">
        <v>21</v>
      </c>
      <c r="D58">
        <v>97.528000000000006</v>
      </c>
      <c r="E58">
        <v>35.6</v>
      </c>
      <c r="F58">
        <v>2</v>
      </c>
      <c r="G58">
        <v>2.12</v>
      </c>
      <c r="H58">
        <v>330.5</v>
      </c>
      <c r="I58">
        <v>23</v>
      </c>
      <c r="J58">
        <v>35.700000000000003</v>
      </c>
      <c r="K58">
        <v>836.8</v>
      </c>
      <c r="L58">
        <v>4.7699999999999996</v>
      </c>
      <c r="M58">
        <v>75.099999999999994</v>
      </c>
      <c r="N58">
        <v>90.35</v>
      </c>
      <c r="O58" t="s">
        <v>19</v>
      </c>
      <c r="P58">
        <v>99.9</v>
      </c>
    </row>
    <row r="59" spans="1:16" x14ac:dyDescent="0.25">
      <c r="A59">
        <v>58</v>
      </c>
      <c r="B59" s="1">
        <v>45971</v>
      </c>
      <c r="C59" t="s">
        <v>18</v>
      </c>
      <c r="D59">
        <v>98.088999999999999</v>
      </c>
      <c r="E59">
        <v>27.5</v>
      </c>
      <c r="F59">
        <v>1</v>
      </c>
      <c r="G59">
        <v>4.43</v>
      </c>
      <c r="H59">
        <v>514.5</v>
      </c>
      <c r="I59">
        <v>23.3</v>
      </c>
      <c r="J59">
        <v>54.2</v>
      </c>
      <c r="K59">
        <v>1027.3</v>
      </c>
      <c r="L59">
        <v>1.94</v>
      </c>
      <c r="M59">
        <v>32.5</v>
      </c>
      <c r="N59">
        <v>97.72</v>
      </c>
      <c r="O59" t="s">
        <v>19</v>
      </c>
      <c r="P59">
        <v>98.55</v>
      </c>
    </row>
    <row r="60" spans="1:16" x14ac:dyDescent="0.25">
      <c r="A60">
        <v>59</v>
      </c>
      <c r="B60" s="1">
        <v>45973</v>
      </c>
      <c r="C60" t="s">
        <v>16</v>
      </c>
      <c r="D60">
        <v>97.611000000000004</v>
      </c>
      <c r="E60">
        <v>34.4</v>
      </c>
      <c r="F60">
        <v>5</v>
      </c>
      <c r="G60">
        <v>1.55</v>
      </c>
      <c r="H60">
        <v>669.4</v>
      </c>
      <c r="I60">
        <v>21</v>
      </c>
      <c r="J60">
        <v>37.200000000000003</v>
      </c>
      <c r="K60">
        <v>924</v>
      </c>
      <c r="L60">
        <v>8.7899999999999991</v>
      </c>
      <c r="M60">
        <v>51.9</v>
      </c>
      <c r="N60">
        <v>90.35</v>
      </c>
      <c r="O60" t="s">
        <v>19</v>
      </c>
      <c r="P60">
        <v>96.07</v>
      </c>
    </row>
    <row r="61" spans="1:16" x14ac:dyDescent="0.25">
      <c r="A61">
        <v>60</v>
      </c>
      <c r="B61" s="1">
        <v>45975</v>
      </c>
      <c r="C61" t="s">
        <v>18</v>
      </c>
      <c r="D61">
        <v>99.009</v>
      </c>
      <c r="E61">
        <v>14.3</v>
      </c>
      <c r="F61">
        <v>0</v>
      </c>
      <c r="G61">
        <v>3.74</v>
      </c>
      <c r="H61">
        <v>598.70000000000005</v>
      </c>
      <c r="I61">
        <v>21.7</v>
      </c>
      <c r="J61">
        <v>49.1</v>
      </c>
      <c r="K61">
        <v>847</v>
      </c>
      <c r="L61">
        <v>7.29</v>
      </c>
      <c r="M61">
        <v>51.1</v>
      </c>
      <c r="N61">
        <v>94.24</v>
      </c>
      <c r="O61" t="s">
        <v>19</v>
      </c>
      <c r="P61">
        <v>97.36</v>
      </c>
    </row>
    <row r="62" spans="1:16" x14ac:dyDescent="0.25">
      <c r="A62">
        <v>61</v>
      </c>
      <c r="B62" s="1">
        <v>45976</v>
      </c>
      <c r="C62" t="s">
        <v>16</v>
      </c>
      <c r="D62">
        <v>99.25</v>
      </c>
      <c r="E62">
        <v>10.8</v>
      </c>
      <c r="F62">
        <v>1</v>
      </c>
      <c r="G62">
        <v>4.2</v>
      </c>
      <c r="H62">
        <v>280.8</v>
      </c>
      <c r="I62">
        <v>22.1</v>
      </c>
      <c r="J62">
        <v>46.9</v>
      </c>
      <c r="K62">
        <v>1002.7</v>
      </c>
      <c r="L62">
        <v>1.8</v>
      </c>
      <c r="M62">
        <v>79.8</v>
      </c>
      <c r="N62">
        <v>91.6</v>
      </c>
      <c r="O62" t="s">
        <v>17</v>
      </c>
      <c r="P62">
        <v>99.85</v>
      </c>
    </row>
    <row r="63" spans="1:16" x14ac:dyDescent="0.25">
      <c r="A63">
        <v>62</v>
      </c>
      <c r="B63" s="1">
        <v>45978</v>
      </c>
      <c r="C63" t="s">
        <v>16</v>
      </c>
      <c r="D63">
        <v>98.491</v>
      </c>
      <c r="E63">
        <v>21.7</v>
      </c>
      <c r="F63">
        <v>4</v>
      </c>
      <c r="G63">
        <v>2.5099999999999998</v>
      </c>
      <c r="H63">
        <v>798.6</v>
      </c>
      <c r="I63">
        <v>19.7</v>
      </c>
      <c r="J63">
        <v>38.9</v>
      </c>
      <c r="K63">
        <v>924.2</v>
      </c>
      <c r="L63">
        <v>6.43</v>
      </c>
      <c r="M63">
        <v>47.4</v>
      </c>
      <c r="N63">
        <v>94.13</v>
      </c>
      <c r="O63" t="s">
        <v>17</v>
      </c>
      <c r="P63">
        <v>96.88</v>
      </c>
    </row>
    <row r="64" spans="1:16" x14ac:dyDescent="0.25">
      <c r="A64">
        <v>63</v>
      </c>
      <c r="B64" s="1">
        <v>45980</v>
      </c>
      <c r="C64" t="s">
        <v>20</v>
      </c>
      <c r="D64">
        <v>97.191999999999993</v>
      </c>
      <c r="E64">
        <v>40.4</v>
      </c>
      <c r="F64">
        <v>3</v>
      </c>
      <c r="G64">
        <v>0.71</v>
      </c>
      <c r="H64">
        <v>711.3</v>
      </c>
      <c r="I64">
        <v>21</v>
      </c>
      <c r="J64">
        <v>42.7</v>
      </c>
      <c r="K64">
        <v>924.1</v>
      </c>
      <c r="L64">
        <v>8.58</v>
      </c>
      <c r="M64">
        <v>51.7</v>
      </c>
      <c r="N64">
        <v>90.7</v>
      </c>
      <c r="O64" t="s">
        <v>17</v>
      </c>
      <c r="P64">
        <v>96.15</v>
      </c>
    </row>
    <row r="65" spans="1:16" x14ac:dyDescent="0.25">
      <c r="A65">
        <v>64</v>
      </c>
      <c r="B65" s="1">
        <v>45982</v>
      </c>
      <c r="C65" t="s">
        <v>18</v>
      </c>
      <c r="D65">
        <v>97.253</v>
      </c>
      <c r="E65">
        <v>39.6</v>
      </c>
      <c r="F65">
        <v>4</v>
      </c>
      <c r="G65">
        <v>1.34</v>
      </c>
      <c r="H65">
        <v>704.1</v>
      </c>
      <c r="I65">
        <v>24</v>
      </c>
      <c r="J65">
        <v>45.7</v>
      </c>
      <c r="K65">
        <v>1078</v>
      </c>
      <c r="L65">
        <v>1.82</v>
      </c>
      <c r="M65">
        <v>42.3</v>
      </c>
      <c r="N65">
        <v>94.47</v>
      </c>
      <c r="O65" t="s">
        <v>17</v>
      </c>
      <c r="P65">
        <v>96.77</v>
      </c>
    </row>
    <row r="66" spans="1:16" x14ac:dyDescent="0.25">
      <c r="A66">
        <v>65</v>
      </c>
      <c r="B66" s="1">
        <v>45983</v>
      </c>
      <c r="C66" t="s">
        <v>20</v>
      </c>
      <c r="D66">
        <v>98.962000000000003</v>
      </c>
      <c r="E66">
        <v>14.9</v>
      </c>
      <c r="F66">
        <v>0</v>
      </c>
      <c r="G66">
        <v>0.78</v>
      </c>
      <c r="H66">
        <v>475.8</v>
      </c>
      <c r="I66">
        <v>23</v>
      </c>
      <c r="J66">
        <v>43.7</v>
      </c>
      <c r="K66">
        <v>1103.2</v>
      </c>
      <c r="L66">
        <v>5.75</v>
      </c>
      <c r="M66">
        <v>61.7</v>
      </c>
      <c r="N66">
        <v>99.13</v>
      </c>
      <c r="O66" t="s">
        <v>17</v>
      </c>
      <c r="P66">
        <v>99.89</v>
      </c>
    </row>
    <row r="67" spans="1:16" x14ac:dyDescent="0.25">
      <c r="A67">
        <v>66</v>
      </c>
      <c r="B67" s="1">
        <v>45985</v>
      </c>
      <c r="C67" t="s">
        <v>16</v>
      </c>
      <c r="D67">
        <v>99.402000000000001</v>
      </c>
      <c r="E67">
        <v>8.6</v>
      </c>
      <c r="F67">
        <v>3</v>
      </c>
      <c r="G67">
        <v>3.58</v>
      </c>
      <c r="H67">
        <v>281.60000000000002</v>
      </c>
      <c r="I67">
        <v>21.6</v>
      </c>
      <c r="J67">
        <v>43</v>
      </c>
      <c r="K67">
        <v>1106.8</v>
      </c>
      <c r="L67">
        <v>9.32</v>
      </c>
      <c r="M67">
        <v>36.700000000000003</v>
      </c>
      <c r="N67">
        <v>96.03</v>
      </c>
      <c r="O67" t="s">
        <v>17</v>
      </c>
      <c r="P67">
        <v>97.25</v>
      </c>
    </row>
    <row r="68" spans="1:16" x14ac:dyDescent="0.25">
      <c r="A68">
        <v>67</v>
      </c>
      <c r="B68" s="1">
        <v>45987</v>
      </c>
      <c r="C68" t="s">
        <v>18</v>
      </c>
      <c r="D68">
        <v>99.555000000000007</v>
      </c>
      <c r="E68">
        <v>6.4</v>
      </c>
      <c r="F68">
        <v>4</v>
      </c>
      <c r="G68">
        <v>0.79</v>
      </c>
      <c r="H68">
        <v>715</v>
      </c>
      <c r="I68">
        <v>18.899999999999999</v>
      </c>
      <c r="J68">
        <v>50.8</v>
      </c>
      <c r="K68">
        <v>999.4</v>
      </c>
      <c r="L68">
        <v>4.24</v>
      </c>
      <c r="M68">
        <v>73.8</v>
      </c>
      <c r="N68">
        <v>91.49</v>
      </c>
      <c r="O68" t="s">
        <v>19</v>
      </c>
      <c r="P68">
        <v>99.51</v>
      </c>
    </row>
    <row r="69" spans="1:16" x14ac:dyDescent="0.25">
      <c r="A69">
        <v>68</v>
      </c>
      <c r="B69" s="1">
        <v>45989</v>
      </c>
      <c r="C69" t="s">
        <v>20</v>
      </c>
      <c r="D69">
        <v>98.825999999999993</v>
      </c>
      <c r="E69">
        <v>16.899999999999999</v>
      </c>
      <c r="F69">
        <v>2</v>
      </c>
      <c r="G69">
        <v>4.21</v>
      </c>
      <c r="H69">
        <v>533.1</v>
      </c>
      <c r="I69">
        <v>22.8</v>
      </c>
      <c r="J69">
        <v>37.9</v>
      </c>
      <c r="K69">
        <v>1145.0999999999999</v>
      </c>
      <c r="L69">
        <v>4.0999999999999996</v>
      </c>
      <c r="M69">
        <v>74</v>
      </c>
      <c r="N69">
        <v>90.36</v>
      </c>
      <c r="O69" t="s">
        <v>17</v>
      </c>
      <c r="P69">
        <v>95.35</v>
      </c>
    </row>
    <row r="70" spans="1:16" x14ac:dyDescent="0.25">
      <c r="A70">
        <v>69</v>
      </c>
      <c r="B70" s="1">
        <v>45990</v>
      </c>
      <c r="C70" t="s">
        <v>21</v>
      </c>
      <c r="D70">
        <v>99.558000000000007</v>
      </c>
      <c r="E70">
        <v>6.4</v>
      </c>
      <c r="F70">
        <v>3</v>
      </c>
      <c r="G70">
        <v>1.51</v>
      </c>
      <c r="H70">
        <v>525.5</v>
      </c>
      <c r="I70">
        <v>21.4</v>
      </c>
      <c r="J70">
        <v>47.9</v>
      </c>
      <c r="K70">
        <v>803.8</v>
      </c>
      <c r="L70">
        <v>4.6900000000000004</v>
      </c>
      <c r="M70">
        <v>65</v>
      </c>
      <c r="N70">
        <v>90.76</v>
      </c>
      <c r="O70" t="s">
        <v>17</v>
      </c>
      <c r="P70">
        <v>98.35</v>
      </c>
    </row>
    <row r="71" spans="1:16" x14ac:dyDescent="0.25">
      <c r="A71">
        <v>70</v>
      </c>
      <c r="B71" s="1">
        <v>45992</v>
      </c>
      <c r="C71" t="s">
        <v>21</v>
      </c>
      <c r="D71">
        <v>97.751999999999995</v>
      </c>
      <c r="E71">
        <v>32.4</v>
      </c>
      <c r="F71">
        <v>2</v>
      </c>
      <c r="G71">
        <v>1.81</v>
      </c>
      <c r="H71">
        <v>242.2</v>
      </c>
      <c r="I71">
        <v>21.1</v>
      </c>
      <c r="J71">
        <v>53.1</v>
      </c>
      <c r="K71">
        <v>893.9</v>
      </c>
      <c r="L71">
        <v>4.2300000000000004</v>
      </c>
      <c r="M71">
        <v>77.599999999999994</v>
      </c>
      <c r="N71">
        <v>92.94</v>
      </c>
      <c r="O71" t="s">
        <v>17</v>
      </c>
      <c r="P71">
        <v>97.78</v>
      </c>
    </row>
    <row r="72" spans="1:16" x14ac:dyDescent="0.25">
      <c r="A72">
        <v>71</v>
      </c>
      <c r="B72" s="1">
        <v>45994</v>
      </c>
      <c r="C72" t="s">
        <v>21</v>
      </c>
      <c r="D72">
        <v>97.820999999999998</v>
      </c>
      <c r="E72">
        <v>31.4</v>
      </c>
      <c r="F72">
        <v>3</v>
      </c>
      <c r="G72">
        <v>0.83</v>
      </c>
      <c r="H72">
        <v>270.89999999999998</v>
      </c>
      <c r="I72">
        <v>21.9</v>
      </c>
      <c r="J72">
        <v>48.2</v>
      </c>
      <c r="K72">
        <v>1115.4000000000001</v>
      </c>
      <c r="L72">
        <v>3.7</v>
      </c>
      <c r="M72">
        <v>86.4</v>
      </c>
      <c r="N72">
        <v>99.12</v>
      </c>
      <c r="O72" t="s">
        <v>17</v>
      </c>
      <c r="P72">
        <v>95.94</v>
      </c>
    </row>
    <row r="73" spans="1:16" x14ac:dyDescent="0.25">
      <c r="A73">
        <v>72</v>
      </c>
      <c r="B73" s="1">
        <v>45996</v>
      </c>
      <c r="C73" t="s">
        <v>16</v>
      </c>
      <c r="D73">
        <v>97.41</v>
      </c>
      <c r="E73">
        <v>37.299999999999997</v>
      </c>
      <c r="F73">
        <v>5</v>
      </c>
      <c r="G73">
        <v>4.24</v>
      </c>
      <c r="H73">
        <v>214.7</v>
      </c>
      <c r="I73">
        <v>20.399999999999999</v>
      </c>
      <c r="J73">
        <v>42.2</v>
      </c>
      <c r="K73">
        <v>1153.8</v>
      </c>
      <c r="L73">
        <v>1.24</v>
      </c>
      <c r="M73">
        <v>83.6</v>
      </c>
      <c r="N73">
        <v>93.84</v>
      </c>
      <c r="O73" t="s">
        <v>17</v>
      </c>
      <c r="P73">
        <v>98.32</v>
      </c>
    </row>
    <row r="74" spans="1:16" x14ac:dyDescent="0.25">
      <c r="A74">
        <v>73</v>
      </c>
      <c r="B74" s="1">
        <v>45997</v>
      </c>
      <c r="C74" t="s">
        <v>16</v>
      </c>
      <c r="D74">
        <v>98.51</v>
      </c>
      <c r="E74">
        <v>21.5</v>
      </c>
      <c r="F74">
        <v>5</v>
      </c>
      <c r="G74">
        <v>2.69</v>
      </c>
      <c r="H74">
        <v>236</v>
      </c>
      <c r="I74">
        <v>19.8</v>
      </c>
      <c r="J74">
        <v>37.5</v>
      </c>
      <c r="K74">
        <v>1194.5</v>
      </c>
      <c r="L74">
        <v>7.74</v>
      </c>
      <c r="M74">
        <v>52.2</v>
      </c>
      <c r="N74">
        <v>94.22</v>
      </c>
      <c r="O74" t="s">
        <v>17</v>
      </c>
      <c r="P74">
        <v>97.33</v>
      </c>
    </row>
    <row r="75" spans="1:16" x14ac:dyDescent="0.25">
      <c r="A75">
        <v>74</v>
      </c>
      <c r="B75" s="1">
        <v>45999</v>
      </c>
      <c r="C75" t="s">
        <v>18</v>
      </c>
      <c r="D75">
        <v>99.418000000000006</v>
      </c>
      <c r="E75">
        <v>8.4</v>
      </c>
      <c r="F75">
        <v>5</v>
      </c>
      <c r="G75">
        <v>2.6</v>
      </c>
      <c r="H75">
        <v>386.4</v>
      </c>
      <c r="I75">
        <v>21.4</v>
      </c>
      <c r="J75">
        <v>38.1</v>
      </c>
      <c r="K75">
        <v>1153</v>
      </c>
      <c r="L75">
        <v>9.2799999999999994</v>
      </c>
      <c r="M75">
        <v>76</v>
      </c>
      <c r="N75">
        <v>93.43</v>
      </c>
      <c r="O75" t="s">
        <v>19</v>
      </c>
      <c r="P75">
        <v>98.84</v>
      </c>
    </row>
    <row r="76" spans="1:16" x14ac:dyDescent="0.25">
      <c r="A76">
        <v>75</v>
      </c>
      <c r="B76" s="1">
        <v>46001</v>
      </c>
      <c r="C76" t="s">
        <v>21</v>
      </c>
      <c r="D76">
        <v>99.212000000000003</v>
      </c>
      <c r="E76">
        <v>11.3</v>
      </c>
      <c r="F76">
        <v>4</v>
      </c>
      <c r="G76">
        <v>4.0199999999999996</v>
      </c>
      <c r="H76">
        <v>428.6</v>
      </c>
      <c r="I76">
        <v>19.2</v>
      </c>
      <c r="J76">
        <v>35.4</v>
      </c>
      <c r="K76">
        <v>982</v>
      </c>
      <c r="L76">
        <v>2.09</v>
      </c>
      <c r="M76">
        <v>39.299999999999997</v>
      </c>
      <c r="N76">
        <v>99.53</v>
      </c>
      <c r="O76" t="s">
        <v>19</v>
      </c>
      <c r="P76">
        <v>99.4</v>
      </c>
    </row>
    <row r="77" spans="1:16" x14ac:dyDescent="0.25">
      <c r="A77">
        <v>76</v>
      </c>
      <c r="B77" s="1">
        <v>46003</v>
      </c>
      <c r="C77" t="s">
        <v>16</v>
      </c>
      <c r="D77">
        <v>97.034999999999997</v>
      </c>
      <c r="E77">
        <v>42.7</v>
      </c>
      <c r="F77">
        <v>1</v>
      </c>
      <c r="G77">
        <v>4.29</v>
      </c>
      <c r="H77">
        <v>659.8</v>
      </c>
      <c r="I77">
        <v>20.8</v>
      </c>
      <c r="J77">
        <v>44.9</v>
      </c>
      <c r="K77">
        <v>1023.4</v>
      </c>
      <c r="L77">
        <v>9.69</v>
      </c>
      <c r="M77">
        <v>63.3</v>
      </c>
      <c r="N77">
        <v>90.02</v>
      </c>
      <c r="O77" t="s">
        <v>19</v>
      </c>
      <c r="P77">
        <v>97.91</v>
      </c>
    </row>
    <row r="78" spans="1:16" x14ac:dyDescent="0.25">
      <c r="A78">
        <v>77</v>
      </c>
      <c r="B78" s="1">
        <v>46004</v>
      </c>
      <c r="C78" t="s">
        <v>21</v>
      </c>
      <c r="D78">
        <v>99.695999999999998</v>
      </c>
      <c r="E78">
        <v>4.4000000000000004</v>
      </c>
      <c r="F78">
        <v>4</v>
      </c>
      <c r="G78">
        <v>3.22</v>
      </c>
      <c r="H78">
        <v>642.1</v>
      </c>
      <c r="I78">
        <v>21</v>
      </c>
      <c r="J78">
        <v>54.2</v>
      </c>
      <c r="K78">
        <v>916.8</v>
      </c>
      <c r="L78">
        <v>4.55</v>
      </c>
      <c r="M78">
        <v>53.2</v>
      </c>
      <c r="N78">
        <v>93.15</v>
      </c>
      <c r="O78" t="s">
        <v>19</v>
      </c>
      <c r="P78">
        <v>99.95</v>
      </c>
    </row>
    <row r="79" spans="1:16" x14ac:dyDescent="0.25">
      <c r="A79">
        <v>78</v>
      </c>
      <c r="B79" s="1">
        <v>46006</v>
      </c>
      <c r="C79" t="s">
        <v>20</v>
      </c>
      <c r="D79">
        <v>97.954999999999998</v>
      </c>
      <c r="E79">
        <v>29.4</v>
      </c>
      <c r="F79">
        <v>0</v>
      </c>
      <c r="G79">
        <v>1.89</v>
      </c>
      <c r="H79">
        <v>590.9</v>
      </c>
      <c r="I79">
        <v>23.6</v>
      </c>
      <c r="J79">
        <v>48.1</v>
      </c>
      <c r="K79">
        <v>972.3</v>
      </c>
      <c r="L79">
        <v>9.5299999999999994</v>
      </c>
      <c r="M79">
        <v>38.6</v>
      </c>
      <c r="N79">
        <v>96.81</v>
      </c>
      <c r="O79" t="s">
        <v>17</v>
      </c>
      <c r="P79">
        <v>95</v>
      </c>
    </row>
    <row r="80" spans="1:16" x14ac:dyDescent="0.25">
      <c r="A80">
        <v>79</v>
      </c>
      <c r="B80" s="1">
        <v>46008</v>
      </c>
      <c r="C80" t="s">
        <v>21</v>
      </c>
      <c r="D80">
        <v>97.102999999999994</v>
      </c>
      <c r="E80">
        <v>41.7</v>
      </c>
      <c r="F80">
        <v>1</v>
      </c>
      <c r="G80">
        <v>4.6900000000000004</v>
      </c>
      <c r="H80">
        <v>309.2</v>
      </c>
      <c r="I80">
        <v>22</v>
      </c>
      <c r="J80">
        <v>39.4</v>
      </c>
      <c r="K80">
        <v>1119.5</v>
      </c>
      <c r="L80">
        <v>4.4800000000000004</v>
      </c>
      <c r="M80">
        <v>37.200000000000003</v>
      </c>
      <c r="N80">
        <v>96.75</v>
      </c>
      <c r="O80" t="s">
        <v>19</v>
      </c>
      <c r="P80">
        <v>97.09</v>
      </c>
    </row>
    <row r="81" spans="1:16" x14ac:dyDescent="0.25">
      <c r="A81">
        <v>80</v>
      </c>
      <c r="B81" s="1">
        <v>46010</v>
      </c>
      <c r="C81" t="s">
        <v>18</v>
      </c>
      <c r="D81">
        <v>99.561000000000007</v>
      </c>
      <c r="E81">
        <v>6.3</v>
      </c>
      <c r="F81">
        <v>3</v>
      </c>
      <c r="G81">
        <v>1.51</v>
      </c>
      <c r="H81">
        <v>574.6</v>
      </c>
      <c r="I81">
        <v>23.3</v>
      </c>
      <c r="J81">
        <v>52.5</v>
      </c>
      <c r="K81">
        <v>1110.7</v>
      </c>
      <c r="L81">
        <v>3.25</v>
      </c>
      <c r="M81">
        <v>40.5</v>
      </c>
      <c r="N81">
        <v>95.48</v>
      </c>
      <c r="O81" t="s">
        <v>19</v>
      </c>
      <c r="P81">
        <v>99.52</v>
      </c>
    </row>
    <row r="82" spans="1:16" x14ac:dyDescent="0.25">
      <c r="A82">
        <v>81</v>
      </c>
      <c r="B82" s="1">
        <v>46011</v>
      </c>
      <c r="C82" t="s">
        <v>20</v>
      </c>
      <c r="D82">
        <v>99.722999999999999</v>
      </c>
      <c r="E82">
        <v>4</v>
      </c>
      <c r="F82">
        <v>0</v>
      </c>
      <c r="G82">
        <v>4.41</v>
      </c>
      <c r="H82">
        <v>653.70000000000005</v>
      </c>
      <c r="I82">
        <v>18.600000000000001</v>
      </c>
      <c r="J82">
        <v>45.5</v>
      </c>
      <c r="K82">
        <v>1094.7</v>
      </c>
      <c r="L82">
        <v>6.56</v>
      </c>
      <c r="M82">
        <v>85.5</v>
      </c>
      <c r="N82">
        <v>90.82</v>
      </c>
      <c r="O82" t="s">
        <v>17</v>
      </c>
      <c r="P82">
        <v>96.03</v>
      </c>
    </row>
    <row r="83" spans="1:16" x14ac:dyDescent="0.25">
      <c r="A83">
        <v>82</v>
      </c>
      <c r="B83" s="1">
        <v>46013</v>
      </c>
      <c r="C83" t="s">
        <v>16</v>
      </c>
      <c r="D83">
        <v>99.236000000000004</v>
      </c>
      <c r="E83">
        <v>11</v>
      </c>
      <c r="F83">
        <v>1</v>
      </c>
      <c r="G83">
        <v>4.25</v>
      </c>
      <c r="H83">
        <v>318.8</v>
      </c>
      <c r="I83">
        <v>20</v>
      </c>
      <c r="J83">
        <v>50.9</v>
      </c>
      <c r="K83">
        <v>893.6</v>
      </c>
      <c r="L83">
        <v>5.21</v>
      </c>
      <c r="M83">
        <v>78</v>
      </c>
      <c r="N83">
        <v>98.43</v>
      </c>
      <c r="O83" t="s">
        <v>19</v>
      </c>
      <c r="P83">
        <v>97.59</v>
      </c>
    </row>
    <row r="84" spans="1:16" x14ac:dyDescent="0.25">
      <c r="A84">
        <v>83</v>
      </c>
      <c r="B84" s="1">
        <v>46015</v>
      </c>
      <c r="C84" t="s">
        <v>21</v>
      </c>
      <c r="D84">
        <v>97.614999999999995</v>
      </c>
      <c r="E84">
        <v>34.299999999999997</v>
      </c>
      <c r="F84">
        <v>1</v>
      </c>
      <c r="G84">
        <v>3.31</v>
      </c>
      <c r="H84">
        <v>715.5</v>
      </c>
      <c r="I84">
        <v>22</v>
      </c>
      <c r="J84">
        <v>40.5</v>
      </c>
      <c r="K84">
        <v>911.3</v>
      </c>
      <c r="L84">
        <v>6.36</v>
      </c>
      <c r="M84">
        <v>48.8</v>
      </c>
      <c r="N84">
        <v>96.47</v>
      </c>
      <c r="O84" t="s">
        <v>19</v>
      </c>
      <c r="P84">
        <v>96.82</v>
      </c>
    </row>
    <row r="85" spans="1:16" x14ac:dyDescent="0.25">
      <c r="A85">
        <v>84</v>
      </c>
      <c r="B85" s="1">
        <v>46017</v>
      </c>
      <c r="C85" t="s">
        <v>16</v>
      </c>
      <c r="D85">
        <v>99.971999999999994</v>
      </c>
      <c r="E85">
        <v>0.4</v>
      </c>
      <c r="F85">
        <v>4</v>
      </c>
      <c r="G85">
        <v>4.29</v>
      </c>
      <c r="H85">
        <v>757.1</v>
      </c>
      <c r="I85">
        <v>21</v>
      </c>
      <c r="J85">
        <v>50.3</v>
      </c>
      <c r="K85">
        <v>967.6</v>
      </c>
      <c r="L85">
        <v>3.17</v>
      </c>
      <c r="M85">
        <v>37.700000000000003</v>
      </c>
      <c r="N85">
        <v>95.86</v>
      </c>
      <c r="O85" t="s">
        <v>17</v>
      </c>
      <c r="P85">
        <v>99.89</v>
      </c>
    </row>
    <row r="86" spans="1:16" x14ac:dyDescent="0.25">
      <c r="A86">
        <v>85</v>
      </c>
      <c r="B86" s="1">
        <v>46018</v>
      </c>
      <c r="C86" t="s">
        <v>20</v>
      </c>
      <c r="D86">
        <v>99.587000000000003</v>
      </c>
      <c r="E86">
        <v>5.9</v>
      </c>
      <c r="F86">
        <v>4</v>
      </c>
      <c r="G86">
        <v>3.23</v>
      </c>
      <c r="H86">
        <v>264.89999999999998</v>
      </c>
      <c r="I86">
        <v>19.899999999999999</v>
      </c>
      <c r="J86">
        <v>38</v>
      </c>
      <c r="K86">
        <v>895.1</v>
      </c>
      <c r="L86">
        <v>3.74</v>
      </c>
      <c r="M86">
        <v>49.2</v>
      </c>
      <c r="N86">
        <v>95.13</v>
      </c>
      <c r="O86" t="s">
        <v>19</v>
      </c>
      <c r="P86">
        <v>95.33</v>
      </c>
    </row>
    <row r="87" spans="1:16" x14ac:dyDescent="0.25">
      <c r="A87">
        <v>86</v>
      </c>
      <c r="B87" s="1">
        <v>46020</v>
      </c>
      <c r="C87" t="s">
        <v>18</v>
      </c>
      <c r="D87">
        <v>97.558999999999997</v>
      </c>
      <c r="E87">
        <v>35.200000000000003</v>
      </c>
      <c r="F87">
        <v>5</v>
      </c>
      <c r="G87">
        <v>0.72</v>
      </c>
      <c r="H87">
        <v>459</v>
      </c>
      <c r="I87">
        <v>21.3</v>
      </c>
      <c r="J87">
        <v>41.3</v>
      </c>
      <c r="K87">
        <v>1133.4000000000001</v>
      </c>
      <c r="L87">
        <v>7.85</v>
      </c>
      <c r="M87">
        <v>78.2</v>
      </c>
      <c r="N87">
        <v>95.53</v>
      </c>
      <c r="O87" t="s">
        <v>19</v>
      </c>
      <c r="P87">
        <v>99.35</v>
      </c>
    </row>
    <row r="88" spans="1:16" x14ac:dyDescent="0.25">
      <c r="A88">
        <v>87</v>
      </c>
      <c r="B88" s="1">
        <v>46022</v>
      </c>
      <c r="C88" t="s">
        <v>18</v>
      </c>
      <c r="D88">
        <v>99.876000000000005</v>
      </c>
      <c r="E88">
        <v>1.8</v>
      </c>
      <c r="F88">
        <v>0</v>
      </c>
      <c r="G88">
        <v>2.99</v>
      </c>
      <c r="H88">
        <v>245.6</v>
      </c>
      <c r="I88">
        <v>21.8</v>
      </c>
      <c r="J88">
        <v>39.1</v>
      </c>
      <c r="K88">
        <v>1152.9000000000001</v>
      </c>
      <c r="L88">
        <v>5.05</v>
      </c>
      <c r="M88">
        <v>54.8</v>
      </c>
      <c r="N88">
        <v>96.08</v>
      </c>
      <c r="O88" t="s">
        <v>19</v>
      </c>
      <c r="P88">
        <v>96.03</v>
      </c>
    </row>
    <row r="89" spans="1:16" x14ac:dyDescent="0.25">
      <c r="A89">
        <v>88</v>
      </c>
      <c r="B89" s="1">
        <v>46024</v>
      </c>
      <c r="C89" t="s">
        <v>18</v>
      </c>
      <c r="D89">
        <v>98.105999999999995</v>
      </c>
      <c r="E89">
        <v>27.3</v>
      </c>
      <c r="F89">
        <v>0</v>
      </c>
      <c r="G89">
        <v>1.72</v>
      </c>
      <c r="H89">
        <v>602.20000000000005</v>
      </c>
      <c r="I89">
        <v>19</v>
      </c>
      <c r="J89">
        <v>52</v>
      </c>
      <c r="K89">
        <v>1145</v>
      </c>
      <c r="L89">
        <v>1.76</v>
      </c>
      <c r="M89">
        <v>64.599999999999994</v>
      </c>
      <c r="N89">
        <v>94.92</v>
      </c>
      <c r="O89" t="s">
        <v>17</v>
      </c>
      <c r="P89">
        <v>98.49</v>
      </c>
    </row>
    <row r="90" spans="1:16" x14ac:dyDescent="0.25">
      <c r="A90">
        <v>89</v>
      </c>
      <c r="B90" s="1">
        <v>46025</v>
      </c>
      <c r="C90" t="s">
        <v>20</v>
      </c>
      <c r="D90">
        <v>97.302000000000007</v>
      </c>
      <c r="E90">
        <v>38.9</v>
      </c>
      <c r="F90">
        <v>0</v>
      </c>
      <c r="G90">
        <v>2.5299999999999998</v>
      </c>
      <c r="H90">
        <v>235.5</v>
      </c>
      <c r="I90">
        <v>18.7</v>
      </c>
      <c r="J90">
        <v>54.6</v>
      </c>
      <c r="K90">
        <v>895</v>
      </c>
      <c r="L90">
        <v>9.74</v>
      </c>
      <c r="M90">
        <v>41.4</v>
      </c>
      <c r="N90">
        <v>91.38</v>
      </c>
      <c r="O90" t="s">
        <v>19</v>
      </c>
      <c r="P90">
        <v>96.22</v>
      </c>
    </row>
    <row r="91" spans="1:16" x14ac:dyDescent="0.25">
      <c r="A91">
        <v>90</v>
      </c>
      <c r="B91" s="1">
        <v>46027</v>
      </c>
      <c r="C91" t="s">
        <v>21</v>
      </c>
      <c r="D91">
        <v>99.364000000000004</v>
      </c>
      <c r="E91">
        <v>9.1999999999999993</v>
      </c>
      <c r="F91">
        <v>1</v>
      </c>
      <c r="G91">
        <v>4.87</v>
      </c>
      <c r="H91">
        <v>663.5</v>
      </c>
      <c r="I91">
        <v>19.899999999999999</v>
      </c>
      <c r="J91">
        <v>36.200000000000003</v>
      </c>
      <c r="K91">
        <v>890.4</v>
      </c>
      <c r="L91">
        <v>2.84</v>
      </c>
      <c r="M91">
        <v>86.9</v>
      </c>
      <c r="N91">
        <v>97.07</v>
      </c>
      <c r="O91" t="s">
        <v>17</v>
      </c>
      <c r="P91">
        <v>95.66</v>
      </c>
    </row>
    <row r="92" spans="1:16" x14ac:dyDescent="0.25">
      <c r="A92">
        <v>91</v>
      </c>
      <c r="B92" s="1">
        <v>46029</v>
      </c>
      <c r="C92" t="s">
        <v>18</v>
      </c>
      <c r="D92">
        <v>99.328000000000003</v>
      </c>
      <c r="E92">
        <v>9.6999999999999993</v>
      </c>
      <c r="F92">
        <v>0</v>
      </c>
      <c r="G92">
        <v>1.64</v>
      </c>
      <c r="H92">
        <v>428.9</v>
      </c>
      <c r="I92">
        <v>21.6</v>
      </c>
      <c r="J92">
        <v>42.2</v>
      </c>
      <c r="K92">
        <v>951.5</v>
      </c>
      <c r="L92">
        <v>6.36</v>
      </c>
      <c r="M92">
        <v>36.4</v>
      </c>
      <c r="N92">
        <v>97.39</v>
      </c>
      <c r="O92" t="s">
        <v>17</v>
      </c>
      <c r="P92">
        <v>96.77</v>
      </c>
    </row>
    <row r="93" spans="1:16" x14ac:dyDescent="0.25">
      <c r="A93">
        <v>92</v>
      </c>
      <c r="B93" s="1">
        <v>46031</v>
      </c>
      <c r="C93" t="s">
        <v>18</v>
      </c>
      <c r="D93">
        <v>97.022000000000006</v>
      </c>
      <c r="E93">
        <v>42.9</v>
      </c>
      <c r="F93">
        <v>5</v>
      </c>
      <c r="G93">
        <v>2.15</v>
      </c>
      <c r="H93">
        <v>307.5</v>
      </c>
      <c r="I93">
        <v>23.9</v>
      </c>
      <c r="J93">
        <v>45.4</v>
      </c>
      <c r="K93">
        <v>970.4</v>
      </c>
      <c r="L93">
        <v>3.62</v>
      </c>
      <c r="M93">
        <v>33.6</v>
      </c>
      <c r="N93">
        <v>96.79</v>
      </c>
      <c r="O93" t="s">
        <v>17</v>
      </c>
      <c r="P93">
        <v>99.02</v>
      </c>
    </row>
    <row r="94" spans="1:16" x14ac:dyDescent="0.25">
      <c r="A94">
        <v>93</v>
      </c>
      <c r="B94" s="1">
        <v>46032</v>
      </c>
      <c r="C94" t="s">
        <v>20</v>
      </c>
      <c r="D94">
        <v>97.393000000000001</v>
      </c>
      <c r="E94">
        <v>37.5</v>
      </c>
      <c r="F94">
        <v>2</v>
      </c>
      <c r="G94">
        <v>4.2699999999999996</v>
      </c>
      <c r="H94">
        <v>291.5</v>
      </c>
      <c r="I94">
        <v>20.6</v>
      </c>
      <c r="J94">
        <v>54.2</v>
      </c>
      <c r="K94">
        <v>1170.5999999999999</v>
      </c>
      <c r="L94">
        <v>7.58</v>
      </c>
      <c r="M94">
        <v>42.4</v>
      </c>
      <c r="N94">
        <v>92.29</v>
      </c>
      <c r="O94" t="s">
        <v>19</v>
      </c>
      <c r="P94">
        <v>99.04</v>
      </c>
    </row>
    <row r="95" spans="1:16" x14ac:dyDescent="0.25">
      <c r="A95">
        <v>94</v>
      </c>
      <c r="B95" s="1">
        <v>46034</v>
      </c>
      <c r="C95" t="s">
        <v>16</v>
      </c>
      <c r="D95">
        <v>98.168000000000006</v>
      </c>
      <c r="E95">
        <v>26.4</v>
      </c>
      <c r="F95">
        <v>5</v>
      </c>
      <c r="G95">
        <v>1.76</v>
      </c>
      <c r="H95">
        <v>609</v>
      </c>
      <c r="I95">
        <v>20.7</v>
      </c>
      <c r="J95">
        <v>54.4</v>
      </c>
      <c r="K95">
        <v>967.2</v>
      </c>
      <c r="L95">
        <v>8.44</v>
      </c>
      <c r="M95">
        <v>33.200000000000003</v>
      </c>
      <c r="N95">
        <v>92.58</v>
      </c>
      <c r="O95" t="s">
        <v>19</v>
      </c>
      <c r="P95">
        <v>98.84</v>
      </c>
    </row>
    <row r="96" spans="1:16" x14ac:dyDescent="0.25">
      <c r="A96">
        <v>95</v>
      </c>
      <c r="B96" s="1">
        <v>46036</v>
      </c>
      <c r="C96" t="s">
        <v>16</v>
      </c>
      <c r="D96">
        <v>99.914000000000001</v>
      </c>
      <c r="E96">
        <v>1.2</v>
      </c>
      <c r="F96">
        <v>4</v>
      </c>
      <c r="G96">
        <v>0.93</v>
      </c>
      <c r="H96">
        <v>629.20000000000005</v>
      </c>
      <c r="I96">
        <v>20</v>
      </c>
      <c r="J96">
        <v>37.799999999999997</v>
      </c>
      <c r="K96">
        <v>1030.8</v>
      </c>
      <c r="L96">
        <v>4.91</v>
      </c>
      <c r="M96">
        <v>43.8</v>
      </c>
      <c r="N96">
        <v>99.08</v>
      </c>
      <c r="O96" t="s">
        <v>19</v>
      </c>
      <c r="P96">
        <v>99.77</v>
      </c>
    </row>
    <row r="97" spans="1:16" x14ac:dyDescent="0.25">
      <c r="A97">
        <v>96</v>
      </c>
      <c r="B97" s="1">
        <v>46038</v>
      </c>
      <c r="C97" t="s">
        <v>18</v>
      </c>
      <c r="D97">
        <v>97.120999999999995</v>
      </c>
      <c r="E97">
        <v>41.5</v>
      </c>
      <c r="F97">
        <v>2</v>
      </c>
      <c r="G97">
        <v>3.93</v>
      </c>
      <c r="H97">
        <v>680.8</v>
      </c>
      <c r="I97">
        <v>22.4</v>
      </c>
      <c r="J97">
        <v>48</v>
      </c>
      <c r="K97">
        <v>948.6</v>
      </c>
      <c r="L97">
        <v>5.12</v>
      </c>
      <c r="M97">
        <v>37.799999999999997</v>
      </c>
      <c r="N97">
        <v>95.6</v>
      </c>
      <c r="O97" t="s">
        <v>17</v>
      </c>
      <c r="P97">
        <v>96.89</v>
      </c>
    </row>
    <row r="98" spans="1:16" x14ac:dyDescent="0.25">
      <c r="A98">
        <v>97</v>
      </c>
      <c r="B98" s="1">
        <v>46039</v>
      </c>
      <c r="C98" t="s">
        <v>20</v>
      </c>
      <c r="D98">
        <v>97.432000000000002</v>
      </c>
      <c r="E98">
        <v>37</v>
      </c>
      <c r="F98">
        <v>2</v>
      </c>
      <c r="G98">
        <v>2.06</v>
      </c>
      <c r="H98">
        <v>246.9</v>
      </c>
      <c r="I98">
        <v>19.3</v>
      </c>
      <c r="J98">
        <v>55</v>
      </c>
      <c r="K98">
        <v>953.5</v>
      </c>
      <c r="L98">
        <v>7.47</v>
      </c>
      <c r="M98">
        <v>89.3</v>
      </c>
      <c r="N98">
        <v>92.2</v>
      </c>
      <c r="O98" t="s">
        <v>19</v>
      </c>
      <c r="P98">
        <v>97.45</v>
      </c>
    </row>
    <row r="99" spans="1:16" x14ac:dyDescent="0.25">
      <c r="A99">
        <v>98</v>
      </c>
      <c r="B99" s="1">
        <v>46041</v>
      </c>
      <c r="C99" t="s">
        <v>21</v>
      </c>
      <c r="D99">
        <v>98.742999999999995</v>
      </c>
      <c r="E99">
        <v>18.100000000000001</v>
      </c>
      <c r="F99">
        <v>1</v>
      </c>
      <c r="G99">
        <v>0.94</v>
      </c>
      <c r="H99">
        <v>295.3</v>
      </c>
      <c r="I99">
        <v>23.7</v>
      </c>
      <c r="J99">
        <v>45.5</v>
      </c>
      <c r="K99">
        <v>1091.2</v>
      </c>
      <c r="L99">
        <v>2.29</v>
      </c>
      <c r="M99">
        <v>85.8</v>
      </c>
      <c r="N99">
        <v>99.9</v>
      </c>
      <c r="O99" t="s">
        <v>17</v>
      </c>
      <c r="P99">
        <v>96.26</v>
      </c>
    </row>
    <row r="100" spans="1:16" x14ac:dyDescent="0.25">
      <c r="A100">
        <v>99</v>
      </c>
      <c r="B100" s="1">
        <v>46043</v>
      </c>
      <c r="C100" t="s">
        <v>16</v>
      </c>
      <c r="D100">
        <v>97.567999999999998</v>
      </c>
      <c r="E100">
        <v>35</v>
      </c>
      <c r="F100">
        <v>2</v>
      </c>
      <c r="G100">
        <v>1.67</v>
      </c>
      <c r="H100">
        <v>704.9</v>
      </c>
      <c r="I100">
        <v>18.899999999999999</v>
      </c>
      <c r="J100">
        <v>36.700000000000003</v>
      </c>
      <c r="K100">
        <v>934.5</v>
      </c>
      <c r="L100">
        <v>1.87</v>
      </c>
      <c r="M100">
        <v>89.6</v>
      </c>
      <c r="N100">
        <v>91.9</v>
      </c>
      <c r="O100" t="s">
        <v>17</v>
      </c>
      <c r="P100">
        <v>95.76</v>
      </c>
    </row>
    <row r="101" spans="1:16" x14ac:dyDescent="0.25">
      <c r="A101">
        <v>100</v>
      </c>
      <c r="B101" s="1">
        <v>46045</v>
      </c>
      <c r="C101" t="s">
        <v>16</v>
      </c>
      <c r="D101">
        <v>99.274000000000001</v>
      </c>
      <c r="E101">
        <v>10.5</v>
      </c>
      <c r="F101">
        <v>3</v>
      </c>
      <c r="G101">
        <v>3.12</v>
      </c>
      <c r="H101">
        <v>231.1</v>
      </c>
      <c r="I101">
        <v>19.3</v>
      </c>
      <c r="J101">
        <v>37.5</v>
      </c>
      <c r="K101">
        <v>924.2</v>
      </c>
      <c r="L101">
        <v>8.56</v>
      </c>
      <c r="M101">
        <v>34</v>
      </c>
      <c r="N101">
        <v>91.4</v>
      </c>
      <c r="O101" t="s">
        <v>17</v>
      </c>
      <c r="P101">
        <v>99.86</v>
      </c>
    </row>
  </sheetData>
  <autoFilter ref="A1:P101" xr:uid="{4D0D73E6-9F72-4115-9914-F5B344D2D3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8FF9-813B-413C-8EEF-AA2CFAD38D43}">
  <dimension ref="A1:M5"/>
  <sheetViews>
    <sheetView workbookViewId="0"/>
  </sheetViews>
  <sheetFormatPr baseColWidth="10" defaultRowHeight="15" x14ac:dyDescent="0.25"/>
  <cols>
    <col min="1" max="1" width="5.28515625" bestFit="1" customWidth="1"/>
    <col min="2" max="2" width="24.7109375" bestFit="1" customWidth="1"/>
    <col min="3" max="3" width="13.5703125" bestFit="1" customWidth="1"/>
    <col min="4" max="5" width="13" bestFit="1" customWidth="1"/>
    <col min="6" max="7" width="20" bestFit="1" customWidth="1"/>
    <col min="8" max="8" width="13.5703125" bestFit="1" customWidth="1"/>
    <col min="9" max="10" width="11.85546875" bestFit="1" customWidth="1"/>
    <col min="11" max="11" width="12.85546875" bestFit="1" customWidth="1"/>
    <col min="12" max="12" width="13.140625" bestFit="1" customWidth="1"/>
    <col min="13" max="13" width="15.42578125" bestFit="1" customWidth="1"/>
  </cols>
  <sheetData>
    <row r="1" spans="1:13" s="2" customFormat="1" x14ac:dyDescent="0.25">
      <c r="A1" s="2" t="s">
        <v>22</v>
      </c>
      <c r="B1" s="2" t="s">
        <v>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</row>
    <row r="2" spans="1:13" x14ac:dyDescent="0.25">
      <c r="A2">
        <v>1</v>
      </c>
      <c r="B2" t="s">
        <v>21</v>
      </c>
      <c r="C2">
        <v>98.777000000000001</v>
      </c>
      <c r="D2">
        <v>505.6</v>
      </c>
      <c r="E2">
        <v>2.82</v>
      </c>
      <c r="F2">
        <v>46.7</v>
      </c>
      <c r="G2">
        <v>95.62</v>
      </c>
      <c r="H2">
        <v>100</v>
      </c>
      <c r="I2">
        <v>72.3</v>
      </c>
      <c r="J2">
        <v>12.2</v>
      </c>
      <c r="K2">
        <v>52</v>
      </c>
      <c r="L2">
        <v>100</v>
      </c>
      <c r="M2">
        <v>68.3</v>
      </c>
    </row>
    <row r="3" spans="1:13" x14ac:dyDescent="0.25">
      <c r="A3">
        <v>2</v>
      </c>
      <c r="B3" t="s">
        <v>18</v>
      </c>
      <c r="C3">
        <v>98.498999999999995</v>
      </c>
      <c r="D3">
        <v>525.6</v>
      </c>
      <c r="E3">
        <v>2.39</v>
      </c>
      <c r="F3">
        <v>56</v>
      </c>
      <c r="G3">
        <v>95</v>
      </c>
      <c r="H3">
        <v>45.3</v>
      </c>
      <c r="I3">
        <v>100</v>
      </c>
      <c r="J3">
        <v>100</v>
      </c>
      <c r="K3">
        <v>0</v>
      </c>
      <c r="L3">
        <v>60.8</v>
      </c>
      <c r="M3">
        <v>64.7</v>
      </c>
    </row>
    <row r="4" spans="1:13" x14ac:dyDescent="0.25">
      <c r="A4">
        <v>3</v>
      </c>
      <c r="B4" t="s">
        <v>20</v>
      </c>
      <c r="C4">
        <v>98.269000000000005</v>
      </c>
      <c r="D4">
        <v>453.5</v>
      </c>
      <c r="E4">
        <v>2.6</v>
      </c>
      <c r="F4">
        <v>38.1</v>
      </c>
      <c r="G4">
        <v>95</v>
      </c>
      <c r="H4">
        <v>0</v>
      </c>
      <c r="I4">
        <v>0</v>
      </c>
      <c r="J4">
        <v>57.1</v>
      </c>
      <c r="K4">
        <v>100</v>
      </c>
      <c r="L4">
        <v>60.8</v>
      </c>
      <c r="M4">
        <v>32.5</v>
      </c>
    </row>
    <row r="5" spans="1:13" x14ac:dyDescent="0.25">
      <c r="A5">
        <v>4</v>
      </c>
      <c r="B5" t="s">
        <v>16</v>
      </c>
      <c r="C5">
        <v>98.373000000000005</v>
      </c>
      <c r="D5">
        <v>465.5</v>
      </c>
      <c r="E5">
        <v>2.88</v>
      </c>
      <c r="F5">
        <v>41.7</v>
      </c>
      <c r="G5">
        <v>94.04</v>
      </c>
      <c r="H5">
        <v>20.5</v>
      </c>
      <c r="I5">
        <v>16.600000000000001</v>
      </c>
      <c r="J5">
        <v>0</v>
      </c>
      <c r="K5">
        <v>79.900000000000006</v>
      </c>
      <c r="L5">
        <v>0</v>
      </c>
      <c r="M5">
        <v>22.3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1F3F-DE2C-4BB1-8FBF-A3507A171730}">
  <dimension ref="A1:M2"/>
  <sheetViews>
    <sheetView tabSelected="1" workbookViewId="0">
      <pane ySplit="1" topLeftCell="A2" activePane="bottomLeft" state="frozenSplit"/>
      <selection pane="bottomLeft" sqref="A1:M1"/>
    </sheetView>
  </sheetViews>
  <sheetFormatPr baseColWidth="10" defaultRowHeight="15" x14ac:dyDescent="0.25"/>
  <cols>
    <col min="1" max="13" width="9.7109375" customWidth="1"/>
  </cols>
  <sheetData>
    <row r="1" spans="1:13" ht="27.95" customHeight="1" x14ac:dyDescent="0.35">
      <c r="A1" s="3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</sheetData>
  <mergeCells count="2">
    <mergeCell ref="A1:M1"/>
    <mergeCell ref="A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Database</vt:lpstr>
      <vt:lpstr>KPI_Analysis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Euloge Koudou</dc:creator>
  <cp:lastModifiedBy>Euloge Koudou</cp:lastModifiedBy>
  <dcterms:created xsi:type="dcterms:W3CDTF">2026-08-18T17:01:27Z</dcterms:created>
  <dcterms:modified xsi:type="dcterms:W3CDTF">2026-08-18T17:05:36Z</dcterms:modified>
</cp:coreProperties>
</file>